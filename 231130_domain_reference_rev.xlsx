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bertlab/Dropbox/Projects/FlexDomain/Pilot_Domain_Probe_Design/"/>
    </mc:Choice>
  </mc:AlternateContent>
  <xr:revisionPtr revIDLastSave="0" documentId="13_ncr:1_{0FB0A839-B6EA-7B4C-8272-5A434A5B468E}" xr6:coauthVersionLast="47" xr6:coauthVersionMax="47" xr10:uidLastSave="{00000000-0000-0000-0000-000000000000}"/>
  <bookViews>
    <workbookView xWindow="0" yWindow="0" windowWidth="28800" windowHeight="18000" xr2:uid="{41D17D68-260A-9148-9137-0808114E09C8}"/>
  </bookViews>
  <sheets>
    <sheet name="fd_domain_list" sheetId="1" r:id="rId1"/>
    <sheet name="domain_ref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H21" i="1"/>
  <c r="J21" i="1" s="1"/>
  <c r="E21" i="1"/>
  <c r="D21" i="1"/>
  <c r="F21" i="1" s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7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2" i="1"/>
  <c r="I3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H4" i="1"/>
  <c r="H3" i="1"/>
  <c r="H2" i="1"/>
  <c r="H4" i="2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D9" i="1"/>
  <c r="F9" i="1" s="1"/>
  <c r="D20" i="1"/>
  <c r="F20" i="1" s="1"/>
  <c r="D19" i="1"/>
  <c r="D18" i="1"/>
  <c r="F18" i="1" s="1"/>
  <c r="D17" i="1"/>
  <c r="F17" i="1" s="1"/>
  <c r="D16" i="1"/>
  <c r="F16" i="1" s="1"/>
  <c r="D15" i="1"/>
  <c r="F15" i="1" s="1"/>
  <c r="D14" i="1"/>
  <c r="F14" i="1" s="1"/>
  <c r="D13" i="1"/>
  <c r="D12" i="1"/>
  <c r="D11" i="1"/>
  <c r="D10" i="1"/>
  <c r="F10" i="1" s="1"/>
  <c r="D8" i="1"/>
  <c r="F8" i="1" s="1"/>
  <c r="D7" i="1"/>
  <c r="D6" i="1"/>
  <c r="D5" i="1"/>
  <c r="F5" i="1" s="1"/>
  <c r="D4" i="1"/>
  <c r="D3" i="1"/>
  <c r="D2" i="1"/>
  <c r="E2" i="1"/>
  <c r="F6" i="1" l="1"/>
  <c r="F11" i="1"/>
  <c r="F19" i="1"/>
  <c r="F7" i="1"/>
  <c r="F3" i="1"/>
  <c r="F12" i="1"/>
  <c r="F4" i="1"/>
  <c r="F13" i="1"/>
  <c r="F2" i="1"/>
</calcChain>
</file>

<file path=xl/sharedStrings.xml><?xml version="1.0" encoding="utf-8"?>
<sst xmlns="http://schemas.openxmlformats.org/spreadsheetml/2006/main" count="1874" uniqueCount="1273">
  <si>
    <t>pCWID</t>
  </si>
  <si>
    <t>name</t>
  </si>
  <si>
    <t>Type</t>
  </si>
  <si>
    <t>Description</t>
  </si>
  <si>
    <t xml:space="preserve">Expectation </t>
  </si>
  <si>
    <t>Epistasis</t>
  </si>
  <si>
    <t>pCW18</t>
  </si>
  <si>
    <t>pCW18 pHR-UCOE-SFFV-N34-dCas9-C32-P2a-mNeonGreen</t>
  </si>
  <si>
    <t>Domain construct</t>
  </si>
  <si>
    <t>DNMT3A_3L-KRAB</t>
  </si>
  <si>
    <t xml:space="preserve">Repression </t>
  </si>
  <si>
    <t>N</t>
  </si>
  <si>
    <t>pCW24</t>
  </si>
  <si>
    <t>pCW24 pCWT SFFV-N282-XTEN16-2XNLS-dCas9-XTEN80-C346-IRES-Puro-P2A-mNeonGreen</t>
  </si>
  <si>
    <t>VP160-MSX2</t>
  </si>
  <si>
    <t>Activation</t>
  </si>
  <si>
    <t>pCW25</t>
  </si>
  <si>
    <t>pCW25 pCWT SFFV-N284-XTEN16-2XNLS-dCas9-XTEN80-C267-IRES-Puro-P2A-mNeonGreen</t>
  </si>
  <si>
    <t>p65 HSF1-FOXA1-Nterm</t>
  </si>
  <si>
    <t>pCW26</t>
  </si>
  <si>
    <t>pCW26 pCWT SFFV-N284-XTEN16-2XNLS-dCas9-XTEN80-C257-IRES-Puro-P2A-mNeonGreen</t>
  </si>
  <si>
    <t>p65 HSF1-c-Myb-TAD</t>
  </si>
  <si>
    <t>pCW28</t>
  </si>
  <si>
    <t>pCW28 pCWT SFFV-N313-XTEN16-2XNLS-dCas9-XTEN80-C306-IRES-Puro-P2A-mNeonGreen</t>
  </si>
  <si>
    <t>SaII-CobB</t>
  </si>
  <si>
    <t>pCW31</t>
  </si>
  <si>
    <t>pCW31 pCWT SFFV-RC433-XTEN16-2XNLS-dCas9-XTEN80-RC433-IRES-Puro-P2A-mNeonGreen</t>
  </si>
  <si>
    <t>Random-Random</t>
  </si>
  <si>
    <t>Control</t>
  </si>
  <si>
    <t>pCW33</t>
  </si>
  <si>
    <t>pCW33 pCWT SFFV-N282-XTEN16-2XNLS-dCas9-XTEN80-C285-IRES-Puro-P2A-mNeonGreen</t>
  </si>
  <si>
    <t>VP160-p65-MyoD</t>
  </si>
  <si>
    <t>pCW41</t>
  </si>
  <si>
    <t>pCW41 pCWT SFFV-RC433-XTEN16-2XNLS-dCas9-XTEN80-C267-IRES-Puro-P2A-mNeonGreen</t>
  </si>
  <si>
    <t>RC433-FOXA1-Nterm</t>
  </si>
  <si>
    <t>pCW49</t>
  </si>
  <si>
    <t>pCW49 pCWT SFFV-N281-XTEN16-2XNLS-dCas9-XTEN80-RC433-IRES-Puro-P2A-mNeonGreen</t>
  </si>
  <si>
    <t>VP64-RC433</t>
  </si>
  <si>
    <t>pCW63</t>
  </si>
  <si>
    <t>pCW63 pCWT SFFV-N218-XTEN16-2XNLS-dCas9-XTEN80-C280-IRES-Puro-P2A-mNeonGreen</t>
  </si>
  <si>
    <t>IN80B_HUMAN-CBF1-Cterm</t>
  </si>
  <si>
    <t>pCW65</t>
  </si>
  <si>
    <t>pCW65 pCWT SFFV-N131-XTEN16-2XNLS-dCas9-XTEN80-C185-IRES-Puro-P2A-mNeonGreen</t>
  </si>
  <si>
    <t>PRDM2_HUMAN-RBBP7_HUMAN</t>
  </si>
  <si>
    <t>pCW84</t>
  </si>
  <si>
    <t>pCW84 pCWT SFFV-RC433-XTEN16-2XNLS-dCas9-XTEN80-C32-IRES-Puro-P2A-mNeonGreen</t>
  </si>
  <si>
    <t>RC433-KRAB</t>
  </si>
  <si>
    <t>pCW73</t>
  </si>
  <si>
    <t>pCW73 pCWT SFFV-N105-XTEN16-2XNLS-dCas9-XTEN80-C131-IRES-Puro-P2A-mNeonGreen</t>
  </si>
  <si>
    <t>MBD2_HUMAN-PRDM2_HUMAN</t>
  </si>
  <si>
    <t>shrug emoji</t>
  </si>
  <si>
    <t>pCW59</t>
  </si>
  <si>
    <t>pCW59 pCWT SFFV-N252-XTEN16-2XNLS-dCas9-XTEN80-C46-IRES-Puro-P2A-mNeonGreen</t>
  </si>
  <si>
    <t>HCFC1-SMRD1</t>
  </si>
  <si>
    <t>Y</t>
  </si>
  <si>
    <t>pCW78</t>
  </si>
  <si>
    <t>pCW78 pCWT SFFV-N252-XTEN16-2XNLS-dCas9-XTEN80-RC433-IRES-Puro-P2A-mNeonGreen</t>
  </si>
  <si>
    <t>HCFC1-RC433</t>
  </si>
  <si>
    <t>pCW82</t>
  </si>
  <si>
    <t>pCW82 pCWT SFFV-RC433-XTEN16-2XNLS-dCas9-XTEN80-C46-IRES-Puro-P2A-mNeonGreen</t>
  </si>
  <si>
    <t>RC433-SMRD!</t>
  </si>
  <si>
    <t>pCW47</t>
  </si>
  <si>
    <t>pCW47 pCWT SFFV-N105-XTEN16-2XNLS-dCas9-XTEN80-RC433-IRES-Puro-P2A-mNeonGreen</t>
  </si>
  <si>
    <t>MBD2_HUMAN-RC433</t>
  </si>
  <si>
    <t>pCW79</t>
  </si>
  <si>
    <t>pCW79 pCWT SFFV-RC433-XTEN16-2XNLS-dCas9-XTEN80-C131-IRES-Puro-P2A-mNeonGreen</t>
  </si>
  <si>
    <t>RC433-PRDM2</t>
  </si>
  <si>
    <t>SFFV-N246-XTEN16-2XNLS-dCas9-XTEN80-C239-IRES-Puro-P2A-mNeonGreen</t>
  </si>
  <si>
    <t>n_id</t>
  </si>
  <si>
    <t>c_id</t>
  </si>
  <si>
    <t>n_c_id</t>
  </si>
  <si>
    <t>Library</t>
  </si>
  <si>
    <t>DomainID</t>
  </si>
  <si>
    <t>N_DomainID</t>
  </si>
  <si>
    <t>C_DomainID</t>
  </si>
  <si>
    <t>UniprotID (when applicable)</t>
  </si>
  <si>
    <t>Gene name</t>
  </si>
  <si>
    <t>Reference (when applicable)</t>
  </si>
  <si>
    <t>Lib1, Lib2</t>
  </si>
  <si>
    <t>N1</t>
  </si>
  <si>
    <t>C1</t>
  </si>
  <si>
    <t>O15047</t>
  </si>
  <si>
    <t>SETD1A</t>
  </si>
  <si>
    <t>N2</t>
  </si>
  <si>
    <t>C2</t>
  </si>
  <si>
    <t>N3</t>
  </si>
  <si>
    <t>C3</t>
  </si>
  <si>
    <t>O15379</t>
  </si>
  <si>
    <t>HDAC3</t>
  </si>
  <si>
    <t>N4</t>
  </si>
  <si>
    <t>C4</t>
  </si>
  <si>
    <t>O15550</t>
  </si>
  <si>
    <t>KDM6A</t>
  </si>
  <si>
    <t>non-recoded</t>
  </si>
  <si>
    <t>N5</t>
  </si>
  <si>
    <t>C5</t>
  </si>
  <si>
    <t>O60341</t>
  </si>
  <si>
    <t>KDM1A</t>
  </si>
  <si>
    <t>N6</t>
  </si>
  <si>
    <t>C6</t>
  </si>
  <si>
    <t>N7</t>
  </si>
  <si>
    <t>C7</t>
  </si>
  <si>
    <t>P21506</t>
  </si>
  <si>
    <t>ZNF10</t>
  </si>
  <si>
    <t>N8</t>
  </si>
  <si>
    <t>C8</t>
  </si>
  <si>
    <t>P51608</t>
  </si>
  <si>
    <t>MECP2</t>
  </si>
  <si>
    <t>N9</t>
  </si>
  <si>
    <t>C9</t>
  </si>
  <si>
    <t>N10</t>
  </si>
  <si>
    <t>C10</t>
  </si>
  <si>
    <t>Q00613</t>
  </si>
  <si>
    <t>HSF1</t>
  </si>
  <si>
    <t>N11</t>
  </si>
  <si>
    <t>C11</t>
  </si>
  <si>
    <t>Q03164</t>
  </si>
  <si>
    <t>KMT2A</t>
  </si>
  <si>
    <t>N12</t>
  </si>
  <si>
    <t>C12</t>
  </si>
  <si>
    <t>N14</t>
  </si>
  <si>
    <t>C14</t>
  </si>
  <si>
    <t>Q04206</t>
  </si>
  <si>
    <t>RELA</t>
  </si>
  <si>
    <t>N15</t>
  </si>
  <si>
    <t>C15</t>
  </si>
  <si>
    <t>Q09472</t>
  </si>
  <si>
    <t>EP300</t>
  </si>
  <si>
    <t>N16</t>
  </si>
  <si>
    <t>C16</t>
  </si>
  <si>
    <t>N17</t>
  </si>
  <si>
    <t>C17</t>
  </si>
  <si>
    <t>Q15910</t>
  </si>
  <si>
    <t>EZH2</t>
  </si>
  <si>
    <t>N18</t>
  </si>
  <si>
    <t>C18</t>
  </si>
  <si>
    <t>N20</t>
  </si>
  <si>
    <t>C20</t>
  </si>
  <si>
    <t>Q8NB78</t>
  </si>
  <si>
    <t>KDM1B</t>
  </si>
  <si>
    <t>N21</t>
  </si>
  <si>
    <t>C21</t>
  </si>
  <si>
    <t>N22</t>
  </si>
  <si>
    <t>C22</t>
  </si>
  <si>
    <t>Q8NFU7</t>
  </si>
  <si>
    <t>TET1</t>
  </si>
  <si>
    <t>N23</t>
  </si>
  <si>
    <t>C23</t>
  </si>
  <si>
    <t>N24</t>
  </si>
  <si>
    <t>C24</t>
  </si>
  <si>
    <t>Q8NI51</t>
  </si>
  <si>
    <t>CTCFL</t>
  </si>
  <si>
    <t>N25</t>
  </si>
  <si>
    <t>C25</t>
  </si>
  <si>
    <t>N26</t>
  </si>
  <si>
    <t>C26</t>
  </si>
  <si>
    <t>Q92800</t>
  </si>
  <si>
    <t>EZH1</t>
  </si>
  <si>
    <t>N27</t>
  </si>
  <si>
    <t>C27</t>
  </si>
  <si>
    <t>N28</t>
  </si>
  <si>
    <t>C28</t>
  </si>
  <si>
    <t>Q96KQ7</t>
  </si>
  <si>
    <t>EHMT2</t>
  </si>
  <si>
    <t>N29</t>
  </si>
  <si>
    <t>C29</t>
  </si>
  <si>
    <t>Q9UBL3</t>
  </si>
  <si>
    <t>ASH2L</t>
  </si>
  <si>
    <t>N30</t>
  </si>
  <si>
    <t>C30</t>
  </si>
  <si>
    <t>Q9Y4C1</t>
  </si>
  <si>
    <t>KDM3A</t>
  </si>
  <si>
    <t>N31</t>
  </si>
  <si>
    <t>C31</t>
  </si>
  <si>
    <t>Q9Y6K1</t>
  </si>
  <si>
    <t>DNMT3A</t>
  </si>
  <si>
    <t>N32</t>
  </si>
  <si>
    <t>C32</t>
  </si>
  <si>
    <t>Gilbert_Lab_CRISPRi_KRAB</t>
  </si>
  <si>
    <t>N33</t>
  </si>
  <si>
    <t>C33</t>
  </si>
  <si>
    <t>Hilton_2015</t>
  </si>
  <si>
    <t>N34</t>
  </si>
  <si>
    <t>C34</t>
  </si>
  <si>
    <t>DNMT3A-3L_JKNp112</t>
  </si>
  <si>
    <t>N35</t>
  </si>
  <si>
    <t>C35</t>
  </si>
  <si>
    <t>VPR_JKNp64</t>
  </si>
  <si>
    <t>N36</t>
  </si>
  <si>
    <t>C36</t>
  </si>
  <si>
    <t>TET1CD_JKNp84</t>
  </si>
  <si>
    <t>N37</t>
  </si>
  <si>
    <t>C37</t>
  </si>
  <si>
    <t>N38</t>
  </si>
  <si>
    <t>C38</t>
  </si>
  <si>
    <t>N39</t>
  </si>
  <si>
    <t>C39</t>
  </si>
  <si>
    <t>Lib2</t>
  </si>
  <si>
    <t>N40</t>
  </si>
  <si>
    <t>C40</t>
  </si>
  <si>
    <t>O60502</t>
  </si>
  <si>
    <t>OGA_HUMAN</t>
  </si>
  <si>
    <t>N41</t>
  </si>
  <si>
    <t>C41</t>
  </si>
  <si>
    <t>O60264</t>
  </si>
  <si>
    <t>SMCA5_HUMAN</t>
  </si>
  <si>
    <t>N42</t>
  </si>
  <si>
    <t>C42</t>
  </si>
  <si>
    <t>Q8IZD2</t>
  </si>
  <si>
    <t>KMT2E_HUMAN</t>
  </si>
  <si>
    <t>N43</t>
  </si>
  <si>
    <t>C43</t>
  </si>
  <si>
    <t>Q9NVD3</t>
  </si>
  <si>
    <t>SETD4_HUMAN</t>
  </si>
  <si>
    <t>N44</t>
  </si>
  <si>
    <t>C44</t>
  </si>
  <si>
    <t>O14686</t>
  </si>
  <si>
    <t>KMT2D_HUMAN</t>
  </si>
  <si>
    <t>N45</t>
  </si>
  <si>
    <t>C45</t>
  </si>
  <si>
    <t>N46</t>
  </si>
  <si>
    <t>C46</t>
  </si>
  <si>
    <t>Q96GM5</t>
  </si>
  <si>
    <t>SMRD1_HUMAN</t>
  </si>
  <si>
    <t>N47</t>
  </si>
  <si>
    <t>C47</t>
  </si>
  <si>
    <t>P55345</t>
  </si>
  <si>
    <t>ANM2_HUMAN</t>
  </si>
  <si>
    <t>N48</t>
  </si>
  <si>
    <t>C48</t>
  </si>
  <si>
    <t>Q9C0A6</t>
  </si>
  <si>
    <t>SETD5_HUMAN</t>
  </si>
  <si>
    <t>N49</t>
  </si>
  <si>
    <t>C49</t>
  </si>
  <si>
    <t>Q15788</t>
  </si>
  <si>
    <t>NCOA1_HUMAN</t>
  </si>
  <si>
    <t>N50</t>
  </si>
  <si>
    <t>C50</t>
  </si>
  <si>
    <t>N51</t>
  </si>
  <si>
    <t>C51</t>
  </si>
  <si>
    <t>Q9Y5K5</t>
  </si>
  <si>
    <t>UCHL5_HUMAN</t>
  </si>
  <si>
    <t>N52</t>
  </si>
  <si>
    <t>C52</t>
  </si>
  <si>
    <t>Q92793</t>
  </si>
  <si>
    <t>CBP_HUMAN</t>
  </si>
  <si>
    <t>N53</t>
  </si>
  <si>
    <t>C53</t>
  </si>
  <si>
    <t>N54</t>
  </si>
  <si>
    <t>C54</t>
  </si>
  <si>
    <t>N55</t>
  </si>
  <si>
    <t>C55</t>
  </si>
  <si>
    <t>Q09028</t>
  </si>
  <si>
    <t>RBBP4_HUMAN</t>
  </si>
  <si>
    <t>N56</t>
  </si>
  <si>
    <t>C56</t>
  </si>
  <si>
    <t>Q9H5I1</t>
  </si>
  <si>
    <t>SUV92_HUMAN</t>
  </si>
  <si>
    <t>N57</t>
  </si>
  <si>
    <t>C57</t>
  </si>
  <si>
    <t>Q9NR22</t>
  </si>
  <si>
    <t>ANM8_HUMAN</t>
  </si>
  <si>
    <t>N58</t>
  </si>
  <si>
    <t>C58</t>
  </si>
  <si>
    <t>Q9UKN8</t>
  </si>
  <si>
    <t>TF3C4_HUMAN</t>
  </si>
  <si>
    <t>N59</t>
  </si>
  <si>
    <t>C59</t>
  </si>
  <si>
    <t>Q9ULG1</t>
  </si>
  <si>
    <t>INO80_HUMAN</t>
  </si>
  <si>
    <t>N60</t>
  </si>
  <si>
    <t>C60</t>
  </si>
  <si>
    <t>N61</t>
  </si>
  <si>
    <t>C61</t>
  </si>
  <si>
    <t>O14929</t>
  </si>
  <si>
    <t>HAT1_HUMAN</t>
  </si>
  <si>
    <t>N62</t>
  </si>
  <si>
    <t>C62</t>
  </si>
  <si>
    <t>Q4FZB7</t>
  </si>
  <si>
    <t>KMT5B_HUMAN</t>
  </si>
  <si>
    <t>N63</t>
  </si>
  <si>
    <t>C63</t>
  </si>
  <si>
    <t>Q6GMV2</t>
  </si>
  <si>
    <t>SMYD5_HUMAN</t>
  </si>
  <si>
    <t>N64</t>
  </si>
  <si>
    <t>C64</t>
  </si>
  <si>
    <t>Q92769</t>
  </si>
  <si>
    <t>HDAC2_HUMAN</t>
  </si>
  <si>
    <t>N65</t>
  </si>
  <si>
    <t>C65</t>
  </si>
  <si>
    <t>Q96EZ8</t>
  </si>
  <si>
    <t>MCRS1_HUMAN</t>
  </si>
  <si>
    <t>N66</t>
  </si>
  <si>
    <t>C66</t>
  </si>
  <si>
    <t>Q8TEK3</t>
  </si>
  <si>
    <t>DOT1L_HUMAN</t>
  </si>
  <si>
    <t>N67</t>
  </si>
  <si>
    <t>C67</t>
  </si>
  <si>
    <t>Q9NQV7</t>
  </si>
  <si>
    <t>PRDM9_HUMAN</t>
  </si>
  <si>
    <t>N68</t>
  </si>
  <si>
    <t>C68</t>
  </si>
  <si>
    <t>O95983</t>
  </si>
  <si>
    <t>MBD3_HUMAN</t>
  </si>
  <si>
    <t>N69</t>
  </si>
  <si>
    <t>C69</t>
  </si>
  <si>
    <t>Q96T68</t>
  </si>
  <si>
    <t>SETB2_HUMAN</t>
  </si>
  <si>
    <t>N70</t>
  </si>
  <si>
    <t>C70</t>
  </si>
  <si>
    <t>N71</t>
  </si>
  <si>
    <t>C71</t>
  </si>
  <si>
    <t>Q9Y265</t>
  </si>
  <si>
    <t>RUVB1_HUMAN</t>
  </si>
  <si>
    <t>N72</t>
  </si>
  <si>
    <t>C72</t>
  </si>
  <si>
    <t>Q6ZMT4</t>
  </si>
  <si>
    <t>KDM7A_HUMAN</t>
  </si>
  <si>
    <t>N73</t>
  </si>
  <si>
    <t>C73</t>
  </si>
  <si>
    <t>Q9BY66</t>
  </si>
  <si>
    <t>KDM5D_HUMAN</t>
  </si>
  <si>
    <t>N74</t>
  </si>
  <si>
    <t>C74</t>
  </si>
  <si>
    <t>N75</t>
  </si>
  <si>
    <t>C75</t>
  </si>
  <si>
    <t>N76</t>
  </si>
  <si>
    <t>C76</t>
  </si>
  <si>
    <t>N77</t>
  </si>
  <si>
    <t>C77</t>
  </si>
  <si>
    <t>N78</t>
  </si>
  <si>
    <t>C78</t>
  </si>
  <si>
    <t>Q92794</t>
  </si>
  <si>
    <t>KAT6A_HUMAN</t>
  </si>
  <si>
    <t>N79</t>
  </si>
  <si>
    <t>C79</t>
  </si>
  <si>
    <t>N80</t>
  </si>
  <si>
    <t>C80</t>
  </si>
  <si>
    <t>N81</t>
  </si>
  <si>
    <t>C81</t>
  </si>
  <si>
    <t>Q9Y6Q9</t>
  </si>
  <si>
    <t>NCOA3_HUMAN</t>
  </si>
  <si>
    <t>N82</t>
  </si>
  <si>
    <t>C82</t>
  </si>
  <si>
    <t>N83</t>
  </si>
  <si>
    <t>C83</t>
  </si>
  <si>
    <t>Q6STE5</t>
  </si>
  <si>
    <t>SMRD3_HUMAN</t>
  </si>
  <si>
    <t>N84</t>
  </si>
  <si>
    <t>C84</t>
  </si>
  <si>
    <t>Q53TQ3</t>
  </si>
  <si>
    <t>IN80D_HUMAN</t>
  </si>
  <si>
    <t>N85</t>
  </si>
  <si>
    <t>C85</t>
  </si>
  <si>
    <t>Q9H7B4</t>
  </si>
  <si>
    <t>SMYD3_HUMAN</t>
  </si>
  <si>
    <t>N86</t>
  </si>
  <si>
    <t>C86</t>
  </si>
  <si>
    <t>O75151</t>
  </si>
  <si>
    <t>PHF2_HUMAN</t>
  </si>
  <si>
    <t>N87</t>
  </si>
  <si>
    <t>C87</t>
  </si>
  <si>
    <t>Q8WTS6</t>
  </si>
  <si>
    <t>SETD7_HUMAN</t>
  </si>
  <si>
    <t>N88</t>
  </si>
  <si>
    <t>C88</t>
  </si>
  <si>
    <t>Q9UNL4</t>
  </si>
  <si>
    <t>ING4_HUMAN</t>
  </si>
  <si>
    <t>N89</t>
  </si>
  <si>
    <t>C89</t>
  </si>
  <si>
    <t>Q14839</t>
  </si>
  <si>
    <t>CHD4_HUMAN</t>
  </si>
  <si>
    <t>N90</t>
  </si>
  <si>
    <t>C90</t>
  </si>
  <si>
    <t>N91</t>
  </si>
  <si>
    <t>C91</t>
  </si>
  <si>
    <t>O14744</t>
  </si>
  <si>
    <t>ANM5_HUMAN</t>
  </si>
  <si>
    <t>N92</t>
  </si>
  <si>
    <t>C92</t>
  </si>
  <si>
    <t>Q8NB12</t>
  </si>
  <si>
    <t>SMYD1_HUMAN</t>
  </si>
  <si>
    <t>N93</t>
  </si>
  <si>
    <t>C93</t>
  </si>
  <si>
    <t>O94805</t>
  </si>
  <si>
    <t>ACL6B_HUMAN</t>
  </si>
  <si>
    <t>N94</t>
  </si>
  <si>
    <t>C94</t>
  </si>
  <si>
    <t>Q7LBC6</t>
  </si>
  <si>
    <t>KDM3B_HUMAN</t>
  </si>
  <si>
    <t>N95</t>
  </si>
  <si>
    <t>C95</t>
  </si>
  <si>
    <t>Q8TBK2</t>
  </si>
  <si>
    <t>SETD6_HUMAN</t>
  </si>
  <si>
    <t>N96</t>
  </si>
  <si>
    <t>C96</t>
  </si>
  <si>
    <t>Q12873</t>
  </si>
  <si>
    <t>CHD3_HUMAN</t>
  </si>
  <si>
    <t>N97</t>
  </si>
  <si>
    <t>C97</t>
  </si>
  <si>
    <t>N98</t>
  </si>
  <si>
    <t>C98</t>
  </si>
  <si>
    <t>A4FU79</t>
  </si>
  <si>
    <t>A4FU79_HUMAN</t>
  </si>
  <si>
    <t>N99</t>
  </si>
  <si>
    <t>C99</t>
  </si>
  <si>
    <t>Q6PI98</t>
  </si>
  <si>
    <t>IN80C_HUMAN</t>
  </si>
  <si>
    <t>N100</t>
  </si>
  <si>
    <t>C100</t>
  </si>
  <si>
    <t>P21675</t>
  </si>
  <si>
    <t>TAF1_HUMAN</t>
  </si>
  <si>
    <t>N101</t>
  </si>
  <si>
    <t>C101</t>
  </si>
  <si>
    <t>N102</t>
  </si>
  <si>
    <t>C102</t>
  </si>
  <si>
    <t>N103</t>
  </si>
  <si>
    <t>C103</t>
  </si>
  <si>
    <t>B4DKA4</t>
  </si>
  <si>
    <t>B4DKA4_HUMAN</t>
  </si>
  <si>
    <t>N104</t>
  </si>
  <si>
    <t>C104</t>
  </si>
  <si>
    <t>Q9UBB5</t>
  </si>
  <si>
    <t>MBD2_HUMAN</t>
  </si>
  <si>
    <t>N105</t>
  </si>
  <si>
    <t>C105</t>
  </si>
  <si>
    <t>N106</t>
  </si>
  <si>
    <t>C106</t>
  </si>
  <si>
    <t>Q8WYB5</t>
  </si>
  <si>
    <t>KAT6B_HUMAN</t>
  </si>
  <si>
    <t>N107</t>
  </si>
  <si>
    <t>C107</t>
  </si>
  <si>
    <t>N108</t>
  </si>
  <si>
    <t>C108</t>
  </si>
  <si>
    <t>N109</t>
  </si>
  <si>
    <t>C109</t>
  </si>
  <si>
    <t>N110</t>
  </si>
  <si>
    <t>C110</t>
  </si>
  <si>
    <t>Q9H9V9</t>
  </si>
  <si>
    <t>JMJD4_HUMAN</t>
  </si>
  <si>
    <t>N111</t>
  </si>
  <si>
    <t>C111</t>
  </si>
  <si>
    <t>P29375</t>
  </si>
  <si>
    <t>KDM5A_HUMAN</t>
  </si>
  <si>
    <t>N112</t>
  </si>
  <si>
    <t>C112</t>
  </si>
  <si>
    <t>N113</t>
  </si>
  <si>
    <t>C113</t>
  </si>
  <si>
    <t>N114</t>
  </si>
  <si>
    <t>C114</t>
  </si>
  <si>
    <t>N115</t>
  </si>
  <si>
    <t>C115</t>
  </si>
  <si>
    <t>Q9UQL6</t>
  </si>
  <si>
    <t>HDAC5_HUMAN</t>
  </si>
  <si>
    <t>N116</t>
  </si>
  <si>
    <t>C116</t>
  </si>
  <si>
    <t>Q96LA8</t>
  </si>
  <si>
    <t>ANM6_HUMAN</t>
  </si>
  <si>
    <t>N117</t>
  </si>
  <si>
    <t>C117</t>
  </si>
  <si>
    <t>Q9UBN7</t>
  </si>
  <si>
    <t>HDAC6_HUMAN</t>
  </si>
  <si>
    <t>N118</t>
  </si>
  <si>
    <t>C118</t>
  </si>
  <si>
    <t>N119</t>
  </si>
  <si>
    <t>C119</t>
  </si>
  <si>
    <t>O96019</t>
  </si>
  <si>
    <t>ACL6A_HUMAN</t>
  </si>
  <si>
    <t>N120</t>
  </si>
  <si>
    <t>C120</t>
  </si>
  <si>
    <t>Q06587</t>
  </si>
  <si>
    <t>RING1_HUMAN</t>
  </si>
  <si>
    <t>N121</t>
  </si>
  <si>
    <t>C121</t>
  </si>
  <si>
    <t>KMT2A_HUMAN</t>
  </si>
  <si>
    <t>N122</t>
  </si>
  <si>
    <t>C122</t>
  </si>
  <si>
    <t>N123</t>
  </si>
  <si>
    <t>C123</t>
  </si>
  <si>
    <t>N124</t>
  </si>
  <si>
    <t>C124</t>
  </si>
  <si>
    <t>Q9UPS6</t>
  </si>
  <si>
    <t>SET1B_HUMAN</t>
  </si>
  <si>
    <t>N125</t>
  </si>
  <si>
    <t>C125</t>
  </si>
  <si>
    <t>N126</t>
  </si>
  <si>
    <t>C126</t>
  </si>
  <si>
    <t>Q53H47</t>
  </si>
  <si>
    <t>SETMR_HUMAN</t>
  </si>
  <si>
    <t>N127</t>
  </si>
  <si>
    <t>C127</t>
  </si>
  <si>
    <t>N128</t>
  </si>
  <si>
    <t>C128</t>
  </si>
  <si>
    <t>O43593</t>
  </si>
  <si>
    <t>HAIR_HUMAN</t>
  </si>
  <si>
    <t>N129</t>
  </si>
  <si>
    <t>C129</t>
  </si>
  <si>
    <t>N130</t>
  </si>
  <si>
    <t>C130</t>
  </si>
  <si>
    <t>Q13029</t>
  </si>
  <si>
    <t>PRDM2_HUMAN</t>
  </si>
  <si>
    <t>N131</t>
  </si>
  <si>
    <t>C131</t>
  </si>
  <si>
    <t>N132</t>
  </si>
  <si>
    <t>C132</t>
  </si>
  <si>
    <t>N133</t>
  </si>
  <si>
    <t>C133</t>
  </si>
  <si>
    <t>Q9H7Z6</t>
  </si>
  <si>
    <t>KAT8_HUMAN</t>
  </si>
  <si>
    <t>N134</t>
  </si>
  <si>
    <t>C134</t>
  </si>
  <si>
    <t>Q9Y2K7</t>
  </si>
  <si>
    <t>KDM2A_HUMAN</t>
  </si>
  <si>
    <t>N135</t>
  </si>
  <si>
    <t>C135</t>
  </si>
  <si>
    <t>N136</t>
  </si>
  <si>
    <t>C136</t>
  </si>
  <si>
    <t>Q6NYC1</t>
  </si>
  <si>
    <t>JMJD6_HUMAN</t>
  </si>
  <si>
    <t>N137</t>
  </si>
  <si>
    <t>C137</t>
  </si>
  <si>
    <t>Q9UBC3</t>
  </si>
  <si>
    <t>DNM3B_HUMAN</t>
  </si>
  <si>
    <t>N138</t>
  </si>
  <si>
    <t>C138</t>
  </si>
  <si>
    <t>P0C1Z6</t>
  </si>
  <si>
    <t>TFPT_HUMAN</t>
  </si>
  <si>
    <t>N139</t>
  </si>
  <si>
    <t>C139</t>
  </si>
  <si>
    <t>O15054</t>
  </si>
  <si>
    <t>KDM6B_HUMAN</t>
  </si>
  <si>
    <t>N140</t>
  </si>
  <si>
    <t>C140</t>
  </si>
  <si>
    <t>N141</t>
  </si>
  <si>
    <t>C141</t>
  </si>
  <si>
    <t>Q92922</t>
  </si>
  <si>
    <t>SMRC1_HUMAN</t>
  </si>
  <si>
    <t>N142</t>
  </si>
  <si>
    <t>C142</t>
  </si>
  <si>
    <t>N143</t>
  </si>
  <si>
    <t>C143</t>
  </si>
  <si>
    <t>O94953</t>
  </si>
  <si>
    <t>KDM4B_HUMAN</t>
  </si>
  <si>
    <t>N144</t>
  </si>
  <si>
    <t>C144</t>
  </si>
  <si>
    <t>O14607</t>
  </si>
  <si>
    <t>UTY_HUMAN</t>
  </si>
  <si>
    <t>N145</t>
  </si>
  <si>
    <t>C145</t>
  </si>
  <si>
    <t>N146</t>
  </si>
  <si>
    <t>C146</t>
  </si>
  <si>
    <t>O75164</t>
  </si>
  <si>
    <t>KDM4A_HUMAN</t>
  </si>
  <si>
    <t>N147</t>
  </si>
  <si>
    <t>C147</t>
  </si>
  <si>
    <t>Q9BZ95</t>
  </si>
  <si>
    <t>NSD3_HUMAN</t>
  </si>
  <si>
    <t>N148</t>
  </si>
  <si>
    <t>C148</t>
  </si>
  <si>
    <t>N149</t>
  </si>
  <si>
    <t>C149</t>
  </si>
  <si>
    <t>Q9UIS9</t>
  </si>
  <si>
    <t>MBD1_HUMAN</t>
  </si>
  <si>
    <t>N150</t>
  </si>
  <si>
    <t>C150</t>
  </si>
  <si>
    <t>Q96DB2</t>
  </si>
  <si>
    <t>HDA11_HUMAN</t>
  </si>
  <si>
    <t>N151</t>
  </si>
  <si>
    <t>C151</t>
  </si>
  <si>
    <t>Q9NRC8</t>
  </si>
  <si>
    <t>SIR7_HUMAN</t>
  </si>
  <si>
    <t>N152</t>
  </si>
  <si>
    <t>C152</t>
  </si>
  <si>
    <t>Q9Y6F8</t>
  </si>
  <si>
    <t>CDY1_HUMAN</t>
  </si>
  <si>
    <t>N153</t>
  </si>
  <si>
    <t>C153</t>
  </si>
  <si>
    <t>O95251</t>
  </si>
  <si>
    <t>KAT7_HUMAN</t>
  </si>
  <si>
    <t>N154</t>
  </si>
  <si>
    <t>C154</t>
  </si>
  <si>
    <t>O96028</t>
  </si>
  <si>
    <t>NSD2_HUMAN</t>
  </si>
  <si>
    <t>N155</t>
  </si>
  <si>
    <t>C155</t>
  </si>
  <si>
    <t>N156</t>
  </si>
  <si>
    <t>C156</t>
  </si>
  <si>
    <t>A7E2E1</t>
  </si>
  <si>
    <t>A7E2E1_HUMAN</t>
  </si>
  <si>
    <t>N157</t>
  </si>
  <si>
    <t>C157</t>
  </si>
  <si>
    <t>N158</t>
  </si>
  <si>
    <t>C158</t>
  </si>
  <si>
    <t>Q15047</t>
  </si>
  <si>
    <t>SETB1_HUMAN</t>
  </si>
  <si>
    <t>N159</t>
  </si>
  <si>
    <t>C159</t>
  </si>
  <si>
    <t>N160</t>
  </si>
  <si>
    <t>C160</t>
  </si>
  <si>
    <t>Q9NQR1</t>
  </si>
  <si>
    <t>KMT5A_HUMAN</t>
  </si>
  <si>
    <t>N161</t>
  </si>
  <si>
    <t>C161</t>
  </si>
  <si>
    <t>Q6N021</t>
  </si>
  <si>
    <t>TET2_HUMAN</t>
  </si>
  <si>
    <t>N162</t>
  </si>
  <si>
    <t>C162</t>
  </si>
  <si>
    <t>Q8N6T7</t>
  </si>
  <si>
    <t>SIR6_HUMAN</t>
  </si>
  <si>
    <t>N163</t>
  </si>
  <si>
    <t>C163</t>
  </si>
  <si>
    <t>Q9NVM4</t>
  </si>
  <si>
    <t>ANM7_HUMAN</t>
  </si>
  <si>
    <t>N164</t>
  </si>
  <si>
    <t>C164</t>
  </si>
  <si>
    <t>Q9NXA8</t>
  </si>
  <si>
    <t>SIR5_HUMAN</t>
  </si>
  <si>
    <t>N165</t>
  </si>
  <si>
    <t>C165</t>
  </si>
  <si>
    <t>O94776</t>
  </si>
  <si>
    <t>MTA2_HUMAN</t>
  </si>
  <si>
    <t>N166</t>
  </si>
  <si>
    <t>C166</t>
  </si>
  <si>
    <t>Q9H9B1</t>
  </si>
  <si>
    <t>EHMT1_HUMAN</t>
  </si>
  <si>
    <t>N167</t>
  </si>
  <si>
    <t>C167</t>
  </si>
  <si>
    <t>N168</t>
  </si>
  <si>
    <t>C168</t>
  </si>
  <si>
    <t>Q8NFD5</t>
  </si>
  <si>
    <t>ARI1B_HUMAN</t>
  </si>
  <si>
    <t>N169</t>
  </si>
  <si>
    <t>C169</t>
  </si>
  <si>
    <t>N170</t>
  </si>
  <si>
    <t>C170</t>
  </si>
  <si>
    <t>Q96L73</t>
  </si>
  <si>
    <t>NSD1_HUMAN</t>
  </si>
  <si>
    <t>N171</t>
  </si>
  <si>
    <t>C171</t>
  </si>
  <si>
    <t>Q9NR48</t>
  </si>
  <si>
    <t>ASH1L_HUMAN</t>
  </si>
  <si>
    <t>N172</t>
  </si>
  <si>
    <t>C172</t>
  </si>
  <si>
    <t>N173</t>
  </si>
  <si>
    <t>C173</t>
  </si>
  <si>
    <t>Q9Y6E7</t>
  </si>
  <si>
    <t>SIR4_HUMAN</t>
  </si>
  <si>
    <t>N174</t>
  </si>
  <si>
    <t>C174</t>
  </si>
  <si>
    <t>Q13547</t>
  </si>
  <si>
    <t>HDAC1_HUMAN</t>
  </si>
  <si>
    <t>N175</t>
  </si>
  <si>
    <t>C175</t>
  </si>
  <si>
    <t>Q9Y230</t>
  </si>
  <si>
    <t>RUVB2_HUMAN</t>
  </si>
  <si>
    <t>N176</t>
  </si>
  <si>
    <t>C176</t>
  </si>
  <si>
    <t>Q9H981</t>
  </si>
  <si>
    <t>ARP8_HUMAN</t>
  </si>
  <si>
    <t>N177</t>
  </si>
  <si>
    <t>C177</t>
  </si>
  <si>
    <t>P41229</t>
  </si>
  <si>
    <t>KDM5C_HUMAN</t>
  </si>
  <si>
    <t>N178</t>
  </si>
  <si>
    <t>C178</t>
  </si>
  <si>
    <t>Q86Y97</t>
  </si>
  <si>
    <t>KMT5C_HUMAN</t>
  </si>
  <si>
    <t>N179</t>
  </si>
  <si>
    <t>C179</t>
  </si>
  <si>
    <t>Q92925</t>
  </si>
  <si>
    <t>SMRD2_HUMAN</t>
  </si>
  <si>
    <t>N180</t>
  </si>
  <si>
    <t>C180</t>
  </si>
  <si>
    <t>SET1A_HUMAN</t>
  </si>
  <si>
    <t>N181</t>
  </si>
  <si>
    <t>C181</t>
  </si>
  <si>
    <t>N182</t>
  </si>
  <si>
    <t>C182</t>
  </si>
  <si>
    <t>Q9BTC8</t>
  </si>
  <si>
    <t>MTA3_HUMAN</t>
  </si>
  <si>
    <t>N183</t>
  </si>
  <si>
    <t>C183</t>
  </si>
  <si>
    <t>Q8NEZ4</t>
  </si>
  <si>
    <t>KMT2C_HUMAN</t>
  </si>
  <si>
    <t>N184</t>
  </si>
  <si>
    <t>C184</t>
  </si>
  <si>
    <t>Q9UPP1</t>
  </si>
  <si>
    <t>PHF8_HUMAN</t>
  </si>
  <si>
    <t>N185</t>
  </si>
  <si>
    <t>C185</t>
  </si>
  <si>
    <t>Q16576</t>
  </si>
  <si>
    <t>RBBP7_HUMAN</t>
  </si>
  <si>
    <t>N186</t>
  </si>
  <si>
    <t>C186</t>
  </si>
  <si>
    <t>Q8IUF8</t>
  </si>
  <si>
    <t>RIOX2_HUMAN</t>
  </si>
  <si>
    <t>N187</t>
  </si>
  <si>
    <t>C187</t>
  </si>
  <si>
    <t>O95243</t>
  </si>
  <si>
    <t>MBD4_HUMAN</t>
  </si>
  <si>
    <t>N188</t>
  </si>
  <si>
    <t>C188</t>
  </si>
  <si>
    <t>Q8IYR2</t>
  </si>
  <si>
    <t>SMYD4_HUMAN</t>
  </si>
  <si>
    <t>N189</t>
  </si>
  <si>
    <t>C189</t>
  </si>
  <si>
    <t>Q9H160</t>
  </si>
  <si>
    <t>ING2_HUMAN</t>
  </si>
  <si>
    <t>N190</t>
  </si>
  <si>
    <t>C190</t>
  </si>
  <si>
    <t>Q99873</t>
  </si>
  <si>
    <t>ANM1_HUMAN</t>
  </si>
  <si>
    <t>N191</t>
  </si>
  <si>
    <t>C191</t>
  </si>
  <si>
    <t>Q9Y232</t>
  </si>
  <si>
    <t>CDYL_HUMAN</t>
  </si>
  <si>
    <t>N192</t>
  </si>
  <si>
    <t>C192</t>
  </si>
  <si>
    <t>Q15652</t>
  </si>
  <si>
    <t>JHD2C_HUMAN</t>
  </si>
  <si>
    <t>N193</t>
  </si>
  <si>
    <t>C193</t>
  </si>
  <si>
    <t>Q6B0I6</t>
  </si>
  <si>
    <t>KDM4D_HUMAN</t>
  </si>
  <si>
    <t>N194</t>
  </si>
  <si>
    <t>C194</t>
  </si>
  <si>
    <t>Q9UK53</t>
  </si>
  <si>
    <t>ING1_HUMAN</t>
  </si>
  <si>
    <t>N195</t>
  </si>
  <si>
    <t>C195</t>
  </si>
  <si>
    <t>Q86TU7</t>
  </si>
  <si>
    <t>SETD3_HUMAN</t>
  </si>
  <si>
    <t>N196</t>
  </si>
  <si>
    <t>C196</t>
  </si>
  <si>
    <t>Q13330</t>
  </si>
  <si>
    <t>MTA1_HUMAN</t>
  </si>
  <si>
    <t>N197</t>
  </si>
  <si>
    <t>C197</t>
  </si>
  <si>
    <t>O43463</t>
  </si>
  <si>
    <t>SUV91_HUMAN</t>
  </si>
  <si>
    <t>N198</t>
  </si>
  <si>
    <t>C198</t>
  </si>
  <si>
    <t>Q96S16</t>
  </si>
  <si>
    <t>JMJD8_HUMAN</t>
  </si>
  <si>
    <t>N199</t>
  </si>
  <si>
    <t>C199</t>
  </si>
  <si>
    <t>Q9NXR8</t>
  </si>
  <si>
    <t>ING3_HUMAN</t>
  </si>
  <si>
    <t>N200</t>
  </si>
  <si>
    <t>C200</t>
  </si>
  <si>
    <t>Q9H9F9</t>
  </si>
  <si>
    <t>ARP5_HUMAN</t>
  </si>
  <si>
    <t>N201</t>
  </si>
  <si>
    <t>C201</t>
  </si>
  <si>
    <t>Q8NHM5</t>
  </si>
  <si>
    <t>KDM2B_HUMAN</t>
  </si>
  <si>
    <t>N202</t>
  </si>
  <si>
    <t>C202</t>
  </si>
  <si>
    <t>N203</t>
  </si>
  <si>
    <t>C203</t>
  </si>
  <si>
    <t>P28370</t>
  </si>
  <si>
    <t>SMCA1_HUMAN</t>
  </si>
  <si>
    <t>N204</t>
  </si>
  <si>
    <t>C204</t>
  </si>
  <si>
    <t>Q9NWT6</t>
  </si>
  <si>
    <t>HIF1N_HUMAN</t>
  </si>
  <si>
    <t>N205</t>
  </si>
  <si>
    <t>C205</t>
  </si>
  <si>
    <t>P0C870</t>
  </si>
  <si>
    <t>JMJD7_HUMAN</t>
  </si>
  <si>
    <t>N206</t>
  </si>
  <si>
    <t>C206</t>
  </si>
  <si>
    <t>Q8NE22</t>
  </si>
  <si>
    <t>SETD9_HUMAN</t>
  </si>
  <si>
    <t>N207</t>
  </si>
  <si>
    <t>C207</t>
  </si>
  <si>
    <t>KDM1B_HUMAN</t>
  </si>
  <si>
    <t>N208</t>
  </si>
  <si>
    <t>C208</t>
  </si>
  <si>
    <t>Q6P2P2</t>
  </si>
  <si>
    <t>ANM9_HUMAN</t>
  </si>
  <si>
    <t>N209</t>
  </si>
  <si>
    <t>C209</t>
  </si>
  <si>
    <t>Q969S8</t>
  </si>
  <si>
    <t>HDA10_HUMAN</t>
  </si>
  <si>
    <t>N210</t>
  </si>
  <si>
    <t>C210</t>
  </si>
  <si>
    <t>Q9NTG7</t>
  </si>
  <si>
    <t>SIR3_HUMAN</t>
  </si>
  <si>
    <t>N211</t>
  </si>
  <si>
    <t>C211</t>
  </si>
  <si>
    <t>Q9UMN6</t>
  </si>
  <si>
    <t>KMT2B_HUMAN</t>
  </si>
  <si>
    <t>N212</t>
  </si>
  <si>
    <t>C212</t>
  </si>
  <si>
    <t>Q9BY41</t>
  </si>
  <si>
    <t>HDAC8_HUMAN</t>
  </si>
  <si>
    <t>N213</t>
  </si>
  <si>
    <t>C213</t>
  </si>
  <si>
    <t>Q96EW2</t>
  </si>
  <si>
    <t>HBAP1_HUMAN</t>
  </si>
  <si>
    <t>N214</t>
  </si>
  <si>
    <t>C214</t>
  </si>
  <si>
    <t>P56524</t>
  </si>
  <si>
    <t>HDAC4_HUMAN</t>
  </si>
  <si>
    <t>N215</t>
  </si>
  <si>
    <t>C215</t>
  </si>
  <si>
    <t>N216</t>
  </si>
  <si>
    <t>C216</t>
  </si>
  <si>
    <t>Q8WYH8</t>
  </si>
  <si>
    <t>ING5_HUMAN</t>
  </si>
  <si>
    <t>N217</t>
  </si>
  <si>
    <t>C217</t>
  </si>
  <si>
    <t>Q9NRG0</t>
  </si>
  <si>
    <t>CHRC1_HUMAN</t>
  </si>
  <si>
    <t>N218</t>
  </si>
  <si>
    <t>C218</t>
  </si>
  <si>
    <t>Q9C086</t>
  </si>
  <si>
    <t>IN80B_HUMAN</t>
  </si>
  <si>
    <t>N219</t>
  </si>
  <si>
    <t>C219</t>
  </si>
  <si>
    <t>Q92833</t>
  </si>
  <si>
    <t>JARD2_HUMAN</t>
  </si>
  <si>
    <t>N220</t>
  </si>
  <si>
    <t>C220</t>
  </si>
  <si>
    <t>N221</t>
  </si>
  <si>
    <t>C221</t>
  </si>
  <si>
    <t>Q9NRG4</t>
  </si>
  <si>
    <t>SMYD2_HUMAN</t>
  </si>
  <si>
    <t>N222</t>
  </si>
  <si>
    <t>C222</t>
  </si>
  <si>
    <t>Q8NBZ0</t>
  </si>
  <si>
    <t>IN80E_HUMAN</t>
  </si>
  <si>
    <t>N223</t>
  </si>
  <si>
    <t>C223</t>
  </si>
  <si>
    <t>Q9UK96</t>
  </si>
  <si>
    <t>FBX10_HUMAN</t>
  </si>
  <si>
    <t>N224</t>
  </si>
  <si>
    <t>C224</t>
  </si>
  <si>
    <t>Q9H3R0</t>
  </si>
  <si>
    <t>KDM4C_HUMAN</t>
  </si>
  <si>
    <t>N225</t>
  </si>
  <si>
    <t>C225</t>
  </si>
  <si>
    <t>Q9BYW2</t>
  </si>
  <si>
    <t>SETD2_HUMAN</t>
  </si>
  <si>
    <t>N226</t>
  </si>
  <si>
    <t>C226</t>
  </si>
  <si>
    <t>N227</t>
  </si>
  <si>
    <t>C227</t>
  </si>
  <si>
    <t>Q96EB6</t>
  </si>
  <si>
    <t>SIR1_HUMAN</t>
  </si>
  <si>
    <t>N228</t>
  </si>
  <si>
    <t>C228</t>
  </si>
  <si>
    <t>Q8WUI4</t>
  </si>
  <si>
    <t>HDAC7_HUMAN</t>
  </si>
  <si>
    <t>N229</t>
  </si>
  <si>
    <t>C229</t>
  </si>
  <si>
    <t>Q6P4R8</t>
  </si>
  <si>
    <t>NFRKB_HUMAN</t>
  </si>
  <si>
    <t>N230</t>
  </si>
  <si>
    <t>C230</t>
  </si>
  <si>
    <t>N231</t>
  </si>
  <si>
    <t>C231</t>
  </si>
  <si>
    <t>Q9UGL1</t>
  </si>
  <si>
    <t>KDM5B_HUMAN</t>
  </si>
  <si>
    <t>N232</t>
  </si>
  <si>
    <t>C232</t>
  </si>
  <si>
    <t>Q9UKV0</t>
  </si>
  <si>
    <t>HDAC9_HUMAN</t>
  </si>
  <si>
    <t>N233</t>
  </si>
  <si>
    <t>C233</t>
  </si>
  <si>
    <t>Q9BQA5</t>
  </si>
  <si>
    <t>HINFP_HUMAN</t>
  </si>
  <si>
    <t>N234</t>
  </si>
  <si>
    <t>C234</t>
  </si>
  <si>
    <t>Q8TAQ2</t>
  </si>
  <si>
    <t>SMRC2_HUMAN</t>
  </si>
  <si>
    <t>N235</t>
  </si>
  <si>
    <t>C235</t>
  </si>
  <si>
    <t>Q86X55</t>
  </si>
  <si>
    <t>CARM1_HUMAN</t>
  </si>
  <si>
    <t>N236</t>
  </si>
  <si>
    <t>C236</t>
  </si>
  <si>
    <t>Q92830</t>
  </si>
  <si>
    <t>KAT2A_HUMAN</t>
  </si>
  <si>
    <t>N237</t>
  </si>
  <si>
    <t>C237</t>
  </si>
  <si>
    <t>Q92993</t>
  </si>
  <si>
    <t>KAT5_HUMAN</t>
  </si>
  <si>
    <t>N238</t>
  </si>
  <si>
    <t>C238</t>
  </si>
  <si>
    <t>Q9H0A0</t>
  </si>
  <si>
    <t>NAT10_HUMAN</t>
  </si>
  <si>
    <t>N239</t>
  </si>
  <si>
    <t>C239</t>
  </si>
  <si>
    <t>Q8N371</t>
  </si>
  <si>
    <t>KDM8_HUMAN</t>
  </si>
  <si>
    <t>N240</t>
  </si>
  <si>
    <t>C240</t>
  </si>
  <si>
    <t>O60678</t>
  </si>
  <si>
    <t>ANM3_HUMAN</t>
  </si>
  <si>
    <t>N241</t>
  </si>
  <si>
    <t>C241</t>
  </si>
  <si>
    <t>Q8IXJ6</t>
  </si>
  <si>
    <t>SIR2_HUMAN</t>
  </si>
  <si>
    <t>N242</t>
  </si>
  <si>
    <t>C242</t>
  </si>
  <si>
    <t>Q92831</t>
  </si>
  <si>
    <t>KAT2B_HUMAN</t>
  </si>
  <si>
    <t>N243</t>
  </si>
  <si>
    <t>C243</t>
  </si>
  <si>
    <t>P26358</t>
  </si>
  <si>
    <t>DNMT1_HUMAN</t>
  </si>
  <si>
    <t>N244</t>
  </si>
  <si>
    <t>C244</t>
  </si>
  <si>
    <t>N245</t>
  </si>
  <si>
    <t>C245</t>
  </si>
  <si>
    <t>P25490</t>
  </si>
  <si>
    <t>TYY1_HUMAN</t>
  </si>
  <si>
    <t>N246</t>
  </si>
  <si>
    <t>C246</t>
  </si>
  <si>
    <t>P46100</t>
  </si>
  <si>
    <t>ATRX_HUMAN</t>
  </si>
  <si>
    <t>N247</t>
  </si>
  <si>
    <t>C247</t>
  </si>
  <si>
    <t>N248</t>
  </si>
  <si>
    <t>C248</t>
  </si>
  <si>
    <t>Q49A26</t>
  </si>
  <si>
    <t>GLYR1_HUMAN</t>
  </si>
  <si>
    <t>N249</t>
  </si>
  <si>
    <t>C264</t>
  </si>
  <si>
    <t>Q9Y4I5</t>
  </si>
  <si>
    <t>MTL5_HUMAN</t>
  </si>
  <si>
    <t>N250</t>
  </si>
  <si>
    <t>C250</t>
  </si>
  <si>
    <t>P51610</t>
  </si>
  <si>
    <t>HCFC1_HUMAN</t>
  </si>
  <si>
    <t>N251</t>
  </si>
  <si>
    <t>C251</t>
  </si>
  <si>
    <t>N252</t>
  </si>
  <si>
    <t>C252</t>
  </si>
  <si>
    <t>N253</t>
  </si>
  <si>
    <t>C253</t>
  </si>
  <si>
    <t>Q15291</t>
  </si>
  <si>
    <t>RBBP5_HUMAN</t>
  </si>
  <si>
    <t>N254</t>
  </si>
  <si>
    <t>C254</t>
  </si>
  <si>
    <t>O00255</t>
  </si>
  <si>
    <t>MEN1_HUMAN</t>
  </si>
  <si>
    <t>N255</t>
  </si>
  <si>
    <t>C255</t>
  </si>
  <si>
    <t>O75530</t>
  </si>
  <si>
    <t>EED_HUMAN</t>
  </si>
  <si>
    <t>N256</t>
  </si>
  <si>
    <t>C256</t>
  </si>
  <si>
    <t>LSD1-ORF</t>
  </si>
  <si>
    <t>https://www.ncbi.nlm.nih.gov/pmc/articles/PMC6981169/</t>
  </si>
  <si>
    <t>N257</t>
  </si>
  <si>
    <t>C257</t>
  </si>
  <si>
    <t>c-Myb-TAD</t>
  </si>
  <si>
    <t>https://www.ncbi.nlm.nih.gov/pubmed/31947658</t>
  </si>
  <si>
    <t>N258</t>
  </si>
  <si>
    <t>C258</t>
  </si>
  <si>
    <t>Nejire-HAT</t>
  </si>
  <si>
    <t>https://www.ncbi.nlm.nih.gov/pubmed/31792240</t>
  </si>
  <si>
    <t>N259</t>
  </si>
  <si>
    <t>C259</t>
  </si>
  <si>
    <t>ROS1-CD</t>
  </si>
  <si>
    <t>https://www.ncbi.nlm.nih.gov/pubmed/32087201</t>
  </si>
  <si>
    <t>N260</t>
  </si>
  <si>
    <t>C260</t>
  </si>
  <si>
    <t>Chd1-CD</t>
  </si>
  <si>
    <t>https://www.ncbi.nlm.nih.gov/pubmed/31747617</t>
  </si>
  <si>
    <t>N261</t>
  </si>
  <si>
    <t>C261</t>
  </si>
  <si>
    <t>EZH2_ORYLA</t>
  </si>
  <si>
    <t>https://www.ncbi.nlm.nih.gov/pubmed/30871638</t>
  </si>
  <si>
    <t>N262</t>
  </si>
  <si>
    <t>C262</t>
  </si>
  <si>
    <t>https://www.ncbi.nlm.nih.gov/pubmed/30795863</t>
  </si>
  <si>
    <t>N263</t>
  </si>
  <si>
    <t>C263</t>
  </si>
  <si>
    <t>HDAC8</t>
  </si>
  <si>
    <t>https://www.ncbi.nlm.nih.gov/pubmed/30699347</t>
  </si>
  <si>
    <t>N264</t>
  </si>
  <si>
    <t>C249</t>
  </si>
  <si>
    <t>HAC1-HAT</t>
  </si>
  <si>
    <t>https://www.ncbi.nlm.nih.gov/pubmed/31147630</t>
  </si>
  <si>
    <t>N265</t>
  </si>
  <si>
    <t>C265</t>
  </si>
  <si>
    <t>https://www.ncbi.nlm.nih.gov/pubmed/31053162</t>
  </si>
  <si>
    <t>N266</t>
  </si>
  <si>
    <t>C266</t>
  </si>
  <si>
    <t>GADD45A</t>
  </si>
  <si>
    <t>https://www.ncbi.nlm.nih.gov/pubmed/32106616</t>
  </si>
  <si>
    <t>N267</t>
  </si>
  <si>
    <t>C267</t>
  </si>
  <si>
    <t>FOXA1-Nterm</t>
  </si>
  <si>
    <t>N268</t>
  </si>
  <si>
    <t>C268</t>
  </si>
  <si>
    <t>FOXA1-Cterm</t>
  </si>
  <si>
    <t>N269</t>
  </si>
  <si>
    <t>C269</t>
  </si>
  <si>
    <t>PU.1</t>
  </si>
  <si>
    <t>N270</t>
  </si>
  <si>
    <t>C270</t>
  </si>
  <si>
    <t>ENL</t>
  </si>
  <si>
    <t>https://www.ncbi.nlm.nih.gov/pubmed/28241141</t>
  </si>
  <si>
    <t>N271</t>
  </si>
  <si>
    <t>C271</t>
  </si>
  <si>
    <t>GCN5</t>
  </si>
  <si>
    <t>https://www.ncbi.nlm.nih.gov/pubmed/30584102</t>
  </si>
  <si>
    <t>N272</t>
  </si>
  <si>
    <t>C272</t>
  </si>
  <si>
    <t>Sir2</t>
  </si>
  <si>
    <t>N273</t>
  </si>
  <si>
    <t>C273</t>
  </si>
  <si>
    <t>PRDM9-CD</t>
  </si>
  <si>
    <t>https://www.ncbi.nlm.nih.gov/pubmed/27506838</t>
  </si>
  <si>
    <t>N274</t>
  </si>
  <si>
    <t>C274</t>
  </si>
  <si>
    <t>UBE2A</t>
  </si>
  <si>
    <t>N275</t>
  </si>
  <si>
    <t>C275</t>
  </si>
  <si>
    <t>DOT1L-DOT1_domain</t>
  </si>
  <si>
    <t>N276</t>
  </si>
  <si>
    <t>C276</t>
  </si>
  <si>
    <t>EHMT2(G9a)-Cterm</t>
  </si>
  <si>
    <t>https://www.ncbi.nlm.nih.gov/pubmed/23814024</t>
  </si>
  <si>
    <t>N277</t>
  </si>
  <si>
    <t>C277</t>
  </si>
  <si>
    <t>SUV39H1</t>
  </si>
  <si>
    <t>N278</t>
  </si>
  <si>
    <t>C278</t>
  </si>
  <si>
    <t>TET2CD</t>
  </si>
  <si>
    <t>https://www.ncbi.nlm.nih.gov/pubmed/24194590/</t>
  </si>
  <si>
    <t>N279</t>
  </si>
  <si>
    <t>C279</t>
  </si>
  <si>
    <t>6TAL-VP128(TV)</t>
  </si>
  <si>
    <t>https://www.ncbi.nlm.nih.gov/pubmed/29158545/</t>
  </si>
  <si>
    <t>N280</t>
  </si>
  <si>
    <t>C280</t>
  </si>
  <si>
    <t>CBF1-Cterm</t>
  </si>
  <si>
    <t>https://www.ncbi.nlm.nih.gov/pmc/articles/PMC6802105/</t>
  </si>
  <si>
    <t>N281</t>
  </si>
  <si>
    <t>C281</t>
  </si>
  <si>
    <t>VP64</t>
  </si>
  <si>
    <t>https://www.ncbi.nlm.nih.gov/pubmed/27214048</t>
  </si>
  <si>
    <t>N282</t>
  </si>
  <si>
    <t>C282</t>
  </si>
  <si>
    <t>VP160</t>
  </si>
  <si>
    <t>N283</t>
  </si>
  <si>
    <t>C283</t>
  </si>
  <si>
    <t>TET3CD</t>
  </si>
  <si>
    <t>https://www.ncbi.nlm.nih.gov/pubmed/30158531</t>
  </si>
  <si>
    <t>N284</t>
  </si>
  <si>
    <t>C284</t>
  </si>
  <si>
    <t>p65-HSF1</t>
  </si>
  <si>
    <t>https://www.ncbi.nlm.nih.gov/pmc/articles/PMC4420636/</t>
  </si>
  <si>
    <t>N285</t>
  </si>
  <si>
    <t>C285</t>
  </si>
  <si>
    <t>p65-MyoD</t>
  </si>
  <si>
    <t>N286</t>
  </si>
  <si>
    <t>C286</t>
  </si>
  <si>
    <t>https://www.ncbi.nlm.nih.gov/pubmed/23979020</t>
  </si>
  <si>
    <t>N287</t>
  </si>
  <si>
    <t>C287</t>
  </si>
  <si>
    <t>G9A[SET]</t>
  </si>
  <si>
    <t>https://www.ncbi.nlm.nih.gov/pubmed/28973434</t>
  </si>
  <si>
    <t>N288</t>
  </si>
  <si>
    <t>C288</t>
  </si>
  <si>
    <t>SUV[SET]</t>
  </si>
  <si>
    <t>N289</t>
  </si>
  <si>
    <t>C289</t>
  </si>
  <si>
    <t>FOG1</t>
  </si>
  <si>
    <t>N290</t>
  </si>
  <si>
    <t>C290</t>
  </si>
  <si>
    <t>HP1aCS</t>
  </si>
  <si>
    <t>https://www.ncbi.nlm.nih.gov/pubmed/22704655</t>
  </si>
  <si>
    <t>N291</t>
  </si>
  <si>
    <t>C291</t>
  </si>
  <si>
    <t>SS18</t>
  </si>
  <si>
    <t>https://www.ncbi.nlm.nih.gov/pubmed/28916764</t>
  </si>
  <si>
    <t>N292</t>
  </si>
  <si>
    <t>C292</t>
  </si>
  <si>
    <t>MQ1(Q147L)</t>
  </si>
  <si>
    <t>https://www.ncbi.nlm.nih.gov/pubmed/28695892</t>
  </si>
  <si>
    <t>N293</t>
  </si>
  <si>
    <t>C293</t>
  </si>
  <si>
    <t>KRAB-MeCP2</t>
  </si>
  <si>
    <t>https://www.ncbi.nlm.nih.gov/pubmed/30013045</t>
  </si>
  <si>
    <t>N294</t>
  </si>
  <si>
    <t>C294</t>
  </si>
  <si>
    <t>DIM5</t>
  </si>
  <si>
    <t>N295</t>
  </si>
  <si>
    <t>C295</t>
  </si>
  <si>
    <t>SET-TAF1B</t>
  </si>
  <si>
    <t>N296</t>
  </si>
  <si>
    <t>C296</t>
  </si>
  <si>
    <t>HP1a</t>
  </si>
  <si>
    <t>N297</t>
  </si>
  <si>
    <t>C297</t>
  </si>
  <si>
    <t>MesoLo</t>
  </si>
  <si>
    <t>N298</t>
  </si>
  <si>
    <t>C298</t>
  </si>
  <si>
    <t>MBD2b</t>
  </si>
  <si>
    <t>N299</t>
  </si>
  <si>
    <t>C299</t>
  </si>
  <si>
    <t>HST2</t>
  </si>
  <si>
    <t>N300</t>
  </si>
  <si>
    <t>C300</t>
  </si>
  <si>
    <t>SIRT6</t>
  </si>
  <si>
    <t>N301</t>
  </si>
  <si>
    <t>C301</t>
  </si>
  <si>
    <t>SIRT3</t>
  </si>
  <si>
    <t>N302</t>
  </si>
  <si>
    <t>C302</t>
  </si>
  <si>
    <t>HDAC11</t>
  </si>
  <si>
    <t>N303</t>
  </si>
  <si>
    <t>C303</t>
  </si>
  <si>
    <t>N304</t>
  </si>
  <si>
    <t>C304</t>
  </si>
  <si>
    <t>DNMT3a</t>
  </si>
  <si>
    <t>N305</t>
  </si>
  <si>
    <t>C305</t>
  </si>
  <si>
    <t>NUE</t>
  </si>
  <si>
    <t>N306</t>
  </si>
  <si>
    <t>C306</t>
  </si>
  <si>
    <t>CobB</t>
  </si>
  <si>
    <t>N307</t>
  </si>
  <si>
    <t>C307</t>
  </si>
  <si>
    <t>KYP</t>
  </si>
  <si>
    <t>N308</t>
  </si>
  <si>
    <t>C308</t>
  </si>
  <si>
    <t>HDT1</t>
  </si>
  <si>
    <t>N309</t>
  </si>
  <si>
    <t>C309</t>
  </si>
  <si>
    <t>N310</t>
  </si>
  <si>
    <t>C310</t>
  </si>
  <si>
    <t>TgSET8</t>
  </si>
  <si>
    <t>N311</t>
  </si>
  <si>
    <t>C311</t>
  </si>
  <si>
    <t>Sin3a</t>
  </si>
  <si>
    <t>N312</t>
  </si>
  <si>
    <t>C312</t>
  </si>
  <si>
    <t>SetD8</t>
  </si>
  <si>
    <t>N313</t>
  </si>
  <si>
    <t>C313</t>
  </si>
  <si>
    <t>SaII</t>
  </si>
  <si>
    <t>N314</t>
  </si>
  <si>
    <t>C314</t>
  </si>
  <si>
    <t>MeCP2</t>
  </si>
  <si>
    <t>N315</t>
  </si>
  <si>
    <t>C315</t>
  </si>
  <si>
    <t>NCoR</t>
  </si>
  <si>
    <t>N316</t>
  </si>
  <si>
    <t>C316</t>
  </si>
  <si>
    <t>HP1</t>
  </si>
  <si>
    <t>N317</t>
  </si>
  <si>
    <t>C317</t>
  </si>
  <si>
    <t>https://www.ncbi.nlm.nih.gov/pubmed/28497787</t>
  </si>
  <si>
    <t>N318</t>
  </si>
  <si>
    <t>C318</t>
  </si>
  <si>
    <t>4xSID</t>
  </si>
  <si>
    <t>https://www.ncbi.nlm.nih.gov/pubmed/28964699</t>
  </si>
  <si>
    <t>N319</t>
  </si>
  <si>
    <t>C319</t>
  </si>
  <si>
    <t>mCBP-HAT</t>
  </si>
  <si>
    <t>https://www.ncbi.nlm.nih.gov/pubmed/26768771</t>
  </si>
  <si>
    <t>N320</t>
  </si>
  <si>
    <t>C320</t>
  </si>
  <si>
    <t>mMLL3-SET</t>
  </si>
  <si>
    <t>https://www.ncbi.nlm.nih.gov/pubmed/29313530</t>
  </si>
  <si>
    <t>N321</t>
  </si>
  <si>
    <t>C321</t>
  </si>
  <si>
    <t>Q96T58</t>
  </si>
  <si>
    <t>MINT_HUMAN</t>
  </si>
  <si>
    <t>N322</t>
  </si>
  <si>
    <t>C322</t>
  </si>
  <si>
    <t>N323</t>
  </si>
  <si>
    <t>C323</t>
  </si>
  <si>
    <t>Q00839</t>
  </si>
  <si>
    <t>HNRPU_HUMAN</t>
  </si>
  <si>
    <t>N324</t>
  </si>
  <si>
    <t>C324</t>
  </si>
  <si>
    <t>Q14739</t>
  </si>
  <si>
    <t>LBR_HUMAN</t>
  </si>
  <si>
    <t>N325</t>
  </si>
  <si>
    <t>C325</t>
  </si>
  <si>
    <t>N326</t>
  </si>
  <si>
    <t>C326</t>
  </si>
  <si>
    <t>pf_Sir2A</t>
  </si>
  <si>
    <t>https://www.ncbi.nlm.nih.gov/pmc/articles/PMC3856241/</t>
  </si>
  <si>
    <t>N327</t>
  </si>
  <si>
    <t>C327</t>
  </si>
  <si>
    <t>hs_NIPP1</t>
  </si>
  <si>
    <t>N328</t>
  </si>
  <si>
    <t>C328</t>
  </si>
  <si>
    <t>hs_PHF19</t>
  </si>
  <si>
    <t>N329</t>
  </si>
  <si>
    <t>C329</t>
  </si>
  <si>
    <t>pbcv1_vSET</t>
  </si>
  <si>
    <t>N330</t>
  </si>
  <si>
    <t>C330</t>
  </si>
  <si>
    <t>ce_Set1</t>
  </si>
  <si>
    <t>N331</t>
  </si>
  <si>
    <t>C331</t>
  </si>
  <si>
    <t>mm_G9a</t>
  </si>
  <si>
    <t>N332</t>
  </si>
  <si>
    <t>C332</t>
  </si>
  <si>
    <t>hs_SIRT5</t>
  </si>
  <si>
    <t>N333</t>
  </si>
  <si>
    <t>C333</t>
  </si>
  <si>
    <t>sc_RPD3</t>
  </si>
  <si>
    <t>N334</t>
  </si>
  <si>
    <t>C334</t>
  </si>
  <si>
    <t>hs_RCOR1</t>
  </si>
  <si>
    <t>N335</t>
  </si>
  <si>
    <t>C335</t>
  </si>
  <si>
    <t>at_SUVR4</t>
  </si>
  <si>
    <t>N336</t>
  </si>
  <si>
    <t>C336</t>
  </si>
  <si>
    <t>ce_Set4</t>
  </si>
  <si>
    <t>N337</t>
  </si>
  <si>
    <t>C337</t>
  </si>
  <si>
    <t>Q92576</t>
  </si>
  <si>
    <t>PHF3_HUMAN</t>
  </si>
  <si>
    <t>N338</t>
  </si>
  <si>
    <t>C338</t>
  </si>
  <si>
    <t>Q96T37</t>
  </si>
  <si>
    <t>RBM15_HUMAN</t>
  </si>
  <si>
    <t>N339</t>
  </si>
  <si>
    <t>C339</t>
  </si>
  <si>
    <t>Q6ZMY3</t>
  </si>
  <si>
    <t>SPOC1_HUMAN</t>
  </si>
  <si>
    <t>N340</t>
  </si>
  <si>
    <t>C340</t>
  </si>
  <si>
    <t>Q8LPQ9</t>
  </si>
  <si>
    <t>FPA_ARATH</t>
  </si>
  <si>
    <t>N341</t>
  </si>
  <si>
    <t>C341</t>
  </si>
  <si>
    <t>Q9Y618</t>
  </si>
  <si>
    <t>NCOR2_HUMAN</t>
  </si>
  <si>
    <t>N342</t>
  </si>
  <si>
    <t>C342</t>
  </si>
  <si>
    <t>N343</t>
  </si>
  <si>
    <t>C343</t>
  </si>
  <si>
    <t>N344</t>
  </si>
  <si>
    <t>C344</t>
  </si>
  <si>
    <t>HDAC3_HUMAN</t>
  </si>
  <si>
    <t>N345</t>
  </si>
  <si>
    <t>C345</t>
  </si>
  <si>
    <t>P35548</t>
  </si>
  <si>
    <t>MSX2_HUMAN</t>
  </si>
  <si>
    <t>N346</t>
  </si>
  <si>
    <t>C346</t>
  </si>
  <si>
    <t>N347</t>
  </si>
  <si>
    <t>C347</t>
  </si>
  <si>
    <t>Q9BTC0</t>
  </si>
  <si>
    <t>DIDO1_HUMAN</t>
  </si>
  <si>
    <t>N348</t>
  </si>
  <si>
    <t>C348</t>
  </si>
  <si>
    <t>Q58F21</t>
  </si>
  <si>
    <t>BRDT_HUMAN</t>
  </si>
  <si>
    <t>N349</t>
  </si>
  <si>
    <t>C349</t>
  </si>
  <si>
    <t>P0AEE8</t>
  </si>
  <si>
    <t>DAM_N132A</t>
  </si>
  <si>
    <t>n_domain</t>
  </si>
  <si>
    <t>c_domain</t>
  </si>
  <si>
    <t>RC433</t>
  </si>
  <si>
    <t>n_c_domain</t>
  </si>
  <si>
    <t>SFFV-N111-XTEN16-2XNLS-dCas9-XTEN80-C278-IRES-Puro-P2A-mNeonGreen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</si>
</sst>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2"/>
      <color theme="10"/>
      <name val="Calibri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1" applyFont="1"/>
    <xf numFmtId="0" fontId="5" fillId="0" borderId="0" xfId="1" applyFont="1"/>
    <xf numFmtId="0" fontId="5" fillId="0" borderId="0" xfId="1" applyFont="1" applyBorder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pubmed/30584102" TargetMode="External"/><Relationship Id="rId18" Type="http://schemas.openxmlformats.org/officeDocument/2006/relationships/hyperlink" Target="https://www.ncbi.nlm.nih.gov/pubmed/23814024" TargetMode="External"/><Relationship Id="rId26" Type="http://schemas.openxmlformats.org/officeDocument/2006/relationships/hyperlink" Target="https://www.ncbi.nlm.nih.gov/pubmed/27214048" TargetMode="External"/><Relationship Id="rId39" Type="http://schemas.openxmlformats.org/officeDocument/2006/relationships/hyperlink" Target="https://www.ncbi.nlm.nih.gov/pubmed/28916764" TargetMode="External"/><Relationship Id="rId21" Type="http://schemas.openxmlformats.org/officeDocument/2006/relationships/hyperlink" Target="https://www.ncbi.nlm.nih.gov/pubmed/32106616" TargetMode="External"/><Relationship Id="rId34" Type="http://schemas.openxmlformats.org/officeDocument/2006/relationships/hyperlink" Target="https://www.ncbi.nlm.nih.gov/pubmed/22704655" TargetMode="External"/><Relationship Id="rId42" Type="http://schemas.openxmlformats.org/officeDocument/2006/relationships/hyperlink" Target="https://www.ncbi.nlm.nih.gov/pubmed/26768771" TargetMode="External"/><Relationship Id="rId47" Type="http://schemas.openxmlformats.org/officeDocument/2006/relationships/hyperlink" Target="https://www.ncbi.nlm.nih.gov/pmc/articles/PMC3856241/" TargetMode="External"/><Relationship Id="rId50" Type="http://schemas.openxmlformats.org/officeDocument/2006/relationships/hyperlink" Target="https://www.ncbi.nlm.nih.gov/pmc/articles/PMC3856241/" TargetMode="External"/><Relationship Id="rId55" Type="http://schemas.openxmlformats.org/officeDocument/2006/relationships/hyperlink" Target="https://www.ncbi.nlm.nih.gov/pmc/articles/PMC4420636/" TargetMode="External"/><Relationship Id="rId7" Type="http://schemas.openxmlformats.org/officeDocument/2006/relationships/hyperlink" Target="https://www.ncbi.nlm.nih.gov/pubmed/30795863" TargetMode="External"/><Relationship Id="rId2" Type="http://schemas.openxmlformats.org/officeDocument/2006/relationships/hyperlink" Target="https://www.ncbi.nlm.nih.gov/pubmed/31947658" TargetMode="External"/><Relationship Id="rId16" Type="http://schemas.openxmlformats.org/officeDocument/2006/relationships/hyperlink" Target="https://www.ncbi.nlm.nih.gov/pubmed/27506838" TargetMode="External"/><Relationship Id="rId29" Type="http://schemas.openxmlformats.org/officeDocument/2006/relationships/hyperlink" Target="https://www.ncbi.nlm.nih.gov/pmc/articles/PMC4420636/" TargetMode="External"/><Relationship Id="rId11" Type="http://schemas.openxmlformats.org/officeDocument/2006/relationships/hyperlink" Target="https://www.ncbi.nlm.nih.gov/pubmed/28241141" TargetMode="External"/><Relationship Id="rId24" Type="http://schemas.openxmlformats.org/officeDocument/2006/relationships/hyperlink" Target="https://www.ncbi.nlm.nih.gov/pubmed/32106616" TargetMode="External"/><Relationship Id="rId32" Type="http://schemas.openxmlformats.org/officeDocument/2006/relationships/hyperlink" Target="https://www.ncbi.nlm.nih.gov/pubmed/28973434" TargetMode="External"/><Relationship Id="rId37" Type="http://schemas.openxmlformats.org/officeDocument/2006/relationships/hyperlink" Target="https://www.ncbi.nlm.nih.gov/pubmed/30013045" TargetMode="External"/><Relationship Id="rId40" Type="http://schemas.openxmlformats.org/officeDocument/2006/relationships/hyperlink" Target="https://www.ncbi.nlm.nih.gov/pubmed/28497787" TargetMode="External"/><Relationship Id="rId45" Type="http://schemas.openxmlformats.org/officeDocument/2006/relationships/hyperlink" Target="https://www.ncbi.nlm.nih.gov/pmc/articles/PMC3856241/" TargetMode="External"/><Relationship Id="rId53" Type="http://schemas.openxmlformats.org/officeDocument/2006/relationships/hyperlink" Target="https://www.ncbi.nlm.nih.gov/pmc/articles/PMC3856241/" TargetMode="External"/><Relationship Id="rId5" Type="http://schemas.openxmlformats.org/officeDocument/2006/relationships/hyperlink" Target="https://www.ncbi.nlm.nih.gov/pubmed/31747617" TargetMode="External"/><Relationship Id="rId10" Type="http://schemas.openxmlformats.org/officeDocument/2006/relationships/hyperlink" Target="https://www.ncbi.nlm.nih.gov/pubmed/31053162" TargetMode="External"/><Relationship Id="rId19" Type="http://schemas.openxmlformats.org/officeDocument/2006/relationships/hyperlink" Target="https://www.ncbi.nlm.nih.gov/pubmed/24194590/" TargetMode="External"/><Relationship Id="rId31" Type="http://schemas.openxmlformats.org/officeDocument/2006/relationships/hyperlink" Target="https://www.ncbi.nlm.nih.gov/pubmed/28973434" TargetMode="External"/><Relationship Id="rId44" Type="http://schemas.openxmlformats.org/officeDocument/2006/relationships/hyperlink" Target="https://www.ncbi.nlm.nih.gov/pmc/articles/PMC3856241/" TargetMode="External"/><Relationship Id="rId52" Type="http://schemas.openxmlformats.org/officeDocument/2006/relationships/hyperlink" Target="https://www.ncbi.nlm.nih.gov/pmc/articles/PMC3856241/" TargetMode="External"/><Relationship Id="rId4" Type="http://schemas.openxmlformats.org/officeDocument/2006/relationships/hyperlink" Target="https://www.ncbi.nlm.nih.gov/pubmed/32087201" TargetMode="External"/><Relationship Id="rId9" Type="http://schemas.openxmlformats.org/officeDocument/2006/relationships/hyperlink" Target="https://www.ncbi.nlm.nih.gov/pubmed/31147630" TargetMode="External"/><Relationship Id="rId14" Type="http://schemas.openxmlformats.org/officeDocument/2006/relationships/hyperlink" Target="https://www.ncbi.nlm.nih.gov/pubmed/27506838" TargetMode="External"/><Relationship Id="rId22" Type="http://schemas.openxmlformats.org/officeDocument/2006/relationships/hyperlink" Target="https://www.ncbi.nlm.nih.gov/pubmed/32106616" TargetMode="External"/><Relationship Id="rId27" Type="http://schemas.openxmlformats.org/officeDocument/2006/relationships/hyperlink" Target="https://www.ncbi.nlm.nih.gov/pubmed/27214048" TargetMode="External"/><Relationship Id="rId30" Type="http://schemas.openxmlformats.org/officeDocument/2006/relationships/hyperlink" Target="https://www.ncbi.nlm.nih.gov/pubmed/23979020" TargetMode="External"/><Relationship Id="rId35" Type="http://schemas.openxmlformats.org/officeDocument/2006/relationships/hyperlink" Target="https://www.ncbi.nlm.nih.gov/pubmed/28916764" TargetMode="External"/><Relationship Id="rId43" Type="http://schemas.openxmlformats.org/officeDocument/2006/relationships/hyperlink" Target="https://www.ncbi.nlm.nih.gov/pubmed/29313530" TargetMode="External"/><Relationship Id="rId48" Type="http://schemas.openxmlformats.org/officeDocument/2006/relationships/hyperlink" Target="https://www.ncbi.nlm.nih.gov/pmc/articles/PMC3856241/" TargetMode="External"/><Relationship Id="rId8" Type="http://schemas.openxmlformats.org/officeDocument/2006/relationships/hyperlink" Target="https://www.ncbi.nlm.nih.gov/pubmed/30699347" TargetMode="External"/><Relationship Id="rId51" Type="http://schemas.openxmlformats.org/officeDocument/2006/relationships/hyperlink" Target="https://www.ncbi.nlm.nih.gov/pmc/articles/PMC3856241/" TargetMode="External"/><Relationship Id="rId3" Type="http://schemas.openxmlformats.org/officeDocument/2006/relationships/hyperlink" Target="https://www.ncbi.nlm.nih.gov/pubmed/31792240" TargetMode="External"/><Relationship Id="rId12" Type="http://schemas.openxmlformats.org/officeDocument/2006/relationships/hyperlink" Target="https://www.ncbi.nlm.nih.gov/pubmed/30584102" TargetMode="External"/><Relationship Id="rId17" Type="http://schemas.openxmlformats.org/officeDocument/2006/relationships/hyperlink" Target="https://www.ncbi.nlm.nih.gov/pubmed/23814024" TargetMode="External"/><Relationship Id="rId25" Type="http://schemas.openxmlformats.org/officeDocument/2006/relationships/hyperlink" Target="https://www.ncbi.nlm.nih.gov/pmc/articles/PMC6802105/" TargetMode="External"/><Relationship Id="rId33" Type="http://schemas.openxmlformats.org/officeDocument/2006/relationships/hyperlink" Target="https://www.ncbi.nlm.nih.gov/pubmed/28973434" TargetMode="External"/><Relationship Id="rId38" Type="http://schemas.openxmlformats.org/officeDocument/2006/relationships/hyperlink" Target="https://www.ncbi.nlm.nih.gov/pubmed/30013045" TargetMode="External"/><Relationship Id="rId46" Type="http://schemas.openxmlformats.org/officeDocument/2006/relationships/hyperlink" Target="https://www.ncbi.nlm.nih.gov/pmc/articles/PMC3856241/" TargetMode="External"/><Relationship Id="rId20" Type="http://schemas.openxmlformats.org/officeDocument/2006/relationships/hyperlink" Target="https://www.ncbi.nlm.nih.gov/pubmed/29158545/" TargetMode="External"/><Relationship Id="rId41" Type="http://schemas.openxmlformats.org/officeDocument/2006/relationships/hyperlink" Target="https://www.ncbi.nlm.nih.gov/pubmed/28964699" TargetMode="External"/><Relationship Id="rId54" Type="http://schemas.openxmlformats.org/officeDocument/2006/relationships/hyperlink" Target="https://www.ncbi.nlm.nih.gov/pmc/articles/PMC3856241/" TargetMode="External"/><Relationship Id="rId1" Type="http://schemas.openxmlformats.org/officeDocument/2006/relationships/hyperlink" Target="https://www.ncbi.nlm.nih.gov/pmc/articles/PMC6981169/" TargetMode="External"/><Relationship Id="rId6" Type="http://schemas.openxmlformats.org/officeDocument/2006/relationships/hyperlink" Target="https://www.ncbi.nlm.nih.gov/pubmed/30871638" TargetMode="External"/><Relationship Id="rId15" Type="http://schemas.openxmlformats.org/officeDocument/2006/relationships/hyperlink" Target="https://www.ncbi.nlm.nih.gov/pubmed/27506838" TargetMode="External"/><Relationship Id="rId23" Type="http://schemas.openxmlformats.org/officeDocument/2006/relationships/hyperlink" Target="https://www.ncbi.nlm.nih.gov/pubmed/32106616" TargetMode="External"/><Relationship Id="rId28" Type="http://schemas.openxmlformats.org/officeDocument/2006/relationships/hyperlink" Target="https://www.ncbi.nlm.nih.gov/pubmed/30158531" TargetMode="External"/><Relationship Id="rId36" Type="http://schemas.openxmlformats.org/officeDocument/2006/relationships/hyperlink" Target="https://www.ncbi.nlm.nih.gov/pubmed/28695892" TargetMode="External"/><Relationship Id="rId49" Type="http://schemas.openxmlformats.org/officeDocument/2006/relationships/hyperlink" Target="https://www.ncbi.nlm.nih.gov/pmc/articles/PMC38562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4EC4-D4E6-854F-94B8-B0636B094EB5}">
  <dimension ref="A1:L21"/>
  <sheetViews>
    <sheetView tabSelected="1" zoomScale="157" workbookViewId="0">
      <selection activeCell="H12" sqref="H12"/>
    </sheetView>
  </sheetViews>
  <sheetFormatPr baseColWidth="10" defaultRowHeight="16" x14ac:dyDescent="0.2"/>
  <cols>
    <col min="1" max="4" width="10.83203125" style="7"/>
    <col min="5" max="5" width="12" style="7" customWidth="1"/>
    <col min="6" max="16384" width="10.83203125" style="7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3</v>
      </c>
      <c r="H1" s="1" t="s">
        <v>1268</v>
      </c>
      <c r="I1" s="1" t="s">
        <v>1269</v>
      </c>
      <c r="J1" s="1" t="s">
        <v>1271</v>
      </c>
      <c r="K1" s="1" t="s">
        <v>4</v>
      </c>
      <c r="L1" s="1" t="s">
        <v>5</v>
      </c>
    </row>
    <row r="2" spans="1:12" x14ac:dyDescent="0.2">
      <c r="A2" s="1" t="s">
        <v>6</v>
      </c>
      <c r="B2" s="1" t="s">
        <v>7</v>
      </c>
      <c r="C2" s="1" t="s">
        <v>8</v>
      </c>
      <c r="D2" s="1" t="str">
        <f>MID(B2, SEARCH("SFFV-", B2) + LEN("SFFV-"), SEARCH("-dCas9-", B2) - SEARCH("SFFV-", B2) - LEN("SFFV-"))</f>
        <v>N34</v>
      </c>
      <c r="E2" s="1" t="str">
        <f>MID(B2, SEARCH("-dCas9-", B2) + LEN("-dCas9-"), SEARCH("-P2a-mNeonGreen", B2) - SEARCH("-dCas9-", B2) - LEN("-dCas9-"))</f>
        <v>C32</v>
      </c>
      <c r="F2" s="1" t="str">
        <f>CONCATENATE(D2,"_",E2)</f>
        <v>N34_C32</v>
      </c>
      <c r="G2" s="1" t="s">
        <v>9</v>
      </c>
      <c r="H2" s="1" t="str">
        <f>VLOOKUP(D2, domain_ref!C:F, 4, FALSE)</f>
        <v>DNMT3A-3L_JKNp112</v>
      </c>
      <c r="I2" s="1" t="str">
        <f>VLOOKUP(E2, domain_ref!D:F, 3, FALSE)</f>
        <v>Gilbert_Lab_CRISPRi_KRAB</v>
      </c>
      <c r="J2" s="1" t="str">
        <f>CONCATENATE(H2,"_",I2)</f>
        <v>DNMT3A-3L_JKNp112_Gilbert_Lab_CRISPRi_KRAB</v>
      </c>
      <c r="K2" s="1" t="s">
        <v>10</v>
      </c>
      <c r="L2" s="1" t="s">
        <v>11</v>
      </c>
    </row>
    <row r="3" spans="1:12" x14ac:dyDescent="0.2">
      <c r="A3" s="1" t="s">
        <v>12</v>
      </c>
      <c r="B3" s="1" t="s">
        <v>13</v>
      </c>
      <c r="C3" s="1" t="s">
        <v>8</v>
      </c>
      <c r="D3" s="1" t="str">
        <f>MID(B3, SEARCH("SFFV-", B3) + LEN("SFFV-"), SEARCH("-XTEN16-", B3) - SEARCH("SFFV-", B3) - LEN("SFFV-"))</f>
        <v>N282</v>
      </c>
      <c r="E3" s="1" t="str">
        <f>MID(B3, SEARCH("-XTEN80-", B3) + LEN("-XTEN80-"), SEARCH("-IRES-Puro-P2A-mNeonGreen", B3) - SEARCH("-XTEN80-", B3) - LEN("-XTEN80-"))</f>
        <v>C346</v>
      </c>
      <c r="F3" s="1" t="str">
        <f t="shared" ref="F3:F20" si="0">CONCATENATE(D3,"_",E3)</f>
        <v>N282_C346</v>
      </c>
      <c r="G3" s="1" t="s">
        <v>14</v>
      </c>
      <c r="H3" s="1" t="str">
        <f>VLOOKUP(D3, domain_ref!C:F, 4, FALSE)</f>
        <v>VP160</v>
      </c>
      <c r="I3" s="1" t="str">
        <f>VLOOKUP(E3, domain_ref!D:F, 3, FALSE)</f>
        <v>MSX2_HUMAN</v>
      </c>
      <c r="J3" s="1" t="str">
        <f t="shared" ref="J3:J20" si="1">CONCATENATE(H3,"_",I3)</f>
        <v>VP160_MSX2_HUMAN</v>
      </c>
      <c r="K3" s="1" t="s">
        <v>15</v>
      </c>
      <c r="L3" s="1" t="s">
        <v>11</v>
      </c>
    </row>
    <row r="4" spans="1:12" x14ac:dyDescent="0.2">
      <c r="A4" s="1" t="s">
        <v>16</v>
      </c>
      <c r="B4" s="1" t="s">
        <v>17</v>
      </c>
      <c r="C4" s="1" t="s">
        <v>8</v>
      </c>
      <c r="D4" s="1" t="str">
        <f t="shared" ref="D4:D9" si="2">MID(B4, SEARCH("SFFV-", B4) + LEN("SFFV-"), SEARCH("-XTEN16-", B4) - SEARCH("SFFV-", B4) - LEN("SFFV-"))</f>
        <v>N284</v>
      </c>
      <c r="E4" s="1" t="str">
        <f t="shared" ref="E4:E20" si="3">MID(B4, SEARCH("-XTEN80-", B4) + LEN("-XTEN80-"), SEARCH("-IRES-Puro-P2A-mNeonGreen", B4) - SEARCH("-XTEN80-", B4) - LEN("-XTEN80-"))</f>
        <v>C267</v>
      </c>
      <c r="F4" s="1" t="str">
        <f t="shared" si="0"/>
        <v>N284_C267</v>
      </c>
      <c r="G4" s="1" t="s">
        <v>18</v>
      </c>
      <c r="H4" s="1" t="str">
        <f>VLOOKUP(D4, domain_ref!C:F, 4, FALSE)</f>
        <v>p65-HSF1</v>
      </c>
      <c r="I4" s="1" t="str">
        <f>VLOOKUP(E4, domain_ref!D:F, 3, FALSE)</f>
        <v>FOXA1-Nterm</v>
      </c>
      <c r="J4" s="1" t="str">
        <f t="shared" si="1"/>
        <v>p65-HSF1_FOXA1-Nterm</v>
      </c>
      <c r="K4" s="1" t="s">
        <v>15</v>
      </c>
      <c r="L4" s="1" t="s">
        <v>11</v>
      </c>
    </row>
    <row r="5" spans="1:12" x14ac:dyDescent="0.2">
      <c r="A5" s="1" t="s">
        <v>19</v>
      </c>
      <c r="B5" s="1" t="s">
        <v>20</v>
      </c>
      <c r="C5" s="1" t="s">
        <v>8</v>
      </c>
      <c r="D5" s="1" t="str">
        <f t="shared" si="2"/>
        <v>N284</v>
      </c>
      <c r="E5" s="1" t="str">
        <f t="shared" si="3"/>
        <v>C257</v>
      </c>
      <c r="F5" s="1" t="str">
        <f t="shared" si="0"/>
        <v>N284_C257</v>
      </c>
      <c r="G5" s="1" t="s">
        <v>21</v>
      </c>
      <c r="H5" s="1" t="str">
        <f>VLOOKUP(D5, domain_ref!C:F, 4, FALSE)</f>
        <v>p65-HSF1</v>
      </c>
      <c r="I5" s="1" t="str">
        <f>VLOOKUP(E5, domain_ref!D:F, 3, FALSE)</f>
        <v>c-Myb-TAD</v>
      </c>
      <c r="J5" s="1" t="str">
        <f t="shared" si="1"/>
        <v>p65-HSF1_c-Myb-TAD</v>
      </c>
      <c r="K5" s="1" t="s">
        <v>15</v>
      </c>
      <c r="L5" s="1" t="s">
        <v>11</v>
      </c>
    </row>
    <row r="6" spans="1:12" x14ac:dyDescent="0.2">
      <c r="A6" s="1" t="s">
        <v>22</v>
      </c>
      <c r="B6" s="1" t="s">
        <v>23</v>
      </c>
      <c r="C6" s="1" t="s">
        <v>8</v>
      </c>
      <c r="D6" s="1" t="str">
        <f t="shared" si="2"/>
        <v>N313</v>
      </c>
      <c r="E6" s="1" t="str">
        <f t="shared" si="3"/>
        <v>C306</v>
      </c>
      <c r="F6" s="1" t="str">
        <f t="shared" si="0"/>
        <v>N313_C306</v>
      </c>
      <c r="G6" s="1" t="s">
        <v>24</v>
      </c>
      <c r="H6" s="1" t="str">
        <f>VLOOKUP(D6, domain_ref!C:F, 4, FALSE)</f>
        <v>SaII</v>
      </c>
      <c r="I6" s="1" t="str">
        <f>VLOOKUP(E6, domain_ref!D:F, 3, FALSE)</f>
        <v>CobB</v>
      </c>
      <c r="J6" s="1" t="str">
        <f t="shared" si="1"/>
        <v>SaII_CobB</v>
      </c>
      <c r="K6" s="1" t="s">
        <v>10</v>
      </c>
      <c r="L6" s="1" t="s">
        <v>11</v>
      </c>
    </row>
    <row r="7" spans="1:12" x14ac:dyDescent="0.2">
      <c r="A7" s="1" t="s">
        <v>25</v>
      </c>
      <c r="B7" s="1" t="s">
        <v>26</v>
      </c>
      <c r="C7" s="1" t="s">
        <v>8</v>
      </c>
      <c r="D7" s="1" t="str">
        <f t="shared" si="2"/>
        <v>RC433</v>
      </c>
      <c r="E7" s="1" t="str">
        <f t="shared" si="3"/>
        <v>RC433</v>
      </c>
      <c r="F7" s="1" t="str">
        <f t="shared" si="0"/>
        <v>RC433_RC433</v>
      </c>
      <c r="G7" s="1" t="s">
        <v>27</v>
      </c>
      <c r="H7" s="1" t="str">
        <f>VLOOKUP(D7, domain_ref!C:F, 4, FALSE)</f>
        <v>RC433</v>
      </c>
      <c r="I7" s="1" t="str">
        <f>VLOOKUP(E7, domain_ref!D:F, 3, FALSE)</f>
        <v>RC433</v>
      </c>
      <c r="J7" s="1" t="str">
        <f t="shared" si="1"/>
        <v>RC433_RC433</v>
      </c>
      <c r="K7" s="1" t="s">
        <v>28</v>
      </c>
      <c r="L7" s="1" t="s">
        <v>11</v>
      </c>
    </row>
    <row r="8" spans="1:12" x14ac:dyDescent="0.2">
      <c r="A8" s="1" t="s">
        <v>29</v>
      </c>
      <c r="B8" s="1" t="s">
        <v>30</v>
      </c>
      <c r="C8" s="1" t="s">
        <v>8</v>
      </c>
      <c r="D8" s="1" t="str">
        <f t="shared" si="2"/>
        <v>N282</v>
      </c>
      <c r="E8" s="1" t="str">
        <f t="shared" si="3"/>
        <v>C285</v>
      </c>
      <c r="F8" s="1" t="str">
        <f t="shared" si="0"/>
        <v>N282_C285</v>
      </c>
      <c r="G8" s="1" t="s">
        <v>31</v>
      </c>
      <c r="H8" s="1" t="str">
        <f>VLOOKUP(D8, domain_ref!C:F, 4, FALSE)</f>
        <v>VP160</v>
      </c>
      <c r="I8" s="1" t="str">
        <f>VLOOKUP(E8, domain_ref!D:F, 3, FALSE)</f>
        <v>p65-MyoD</v>
      </c>
      <c r="J8" s="1" t="str">
        <f t="shared" si="1"/>
        <v>VP160_p65-MyoD</v>
      </c>
      <c r="K8" s="1" t="s">
        <v>15</v>
      </c>
      <c r="L8" s="1" t="s">
        <v>11</v>
      </c>
    </row>
    <row r="9" spans="1:12" x14ac:dyDescent="0.2">
      <c r="A9" s="1"/>
      <c r="B9" s="1" t="s">
        <v>67</v>
      </c>
      <c r="C9" s="1" t="s">
        <v>8</v>
      </c>
      <c r="D9" s="1" t="str">
        <f t="shared" si="2"/>
        <v>N246</v>
      </c>
      <c r="E9" s="1" t="str">
        <f t="shared" si="3"/>
        <v>C239</v>
      </c>
      <c r="F9" s="1" t="str">
        <f t="shared" si="0"/>
        <v>N246_C239</v>
      </c>
      <c r="G9" s="1"/>
      <c r="H9" s="1" t="str">
        <f>VLOOKUP(D9, domain_ref!C:F, 4, FALSE)</f>
        <v>ATRX_HUMAN</v>
      </c>
      <c r="I9" s="1" t="str">
        <f>VLOOKUP(E9, domain_ref!D:F, 3, FALSE)</f>
        <v>KDM8_HUMAN</v>
      </c>
      <c r="J9" s="1" t="str">
        <f t="shared" si="1"/>
        <v>ATRX_HUMAN_KDM8_HUMAN</v>
      </c>
      <c r="K9" s="1"/>
      <c r="L9" s="1"/>
    </row>
    <row r="10" spans="1:12" x14ac:dyDescent="0.2">
      <c r="A10" s="1" t="s">
        <v>32</v>
      </c>
      <c r="B10" s="1" t="s">
        <v>33</v>
      </c>
      <c r="C10" s="1" t="s">
        <v>8</v>
      </c>
      <c r="D10" s="1" t="str">
        <f t="shared" ref="D10:D20" si="4">MID(B10, SEARCH("SFFV-", B10) + LEN("SFFV-"), SEARCH("-XTEN16-", B10) - SEARCH("SFFV-", B10) - LEN("SFFV-"))</f>
        <v>RC433</v>
      </c>
      <c r="E10" s="1" t="str">
        <f t="shared" si="3"/>
        <v>C267</v>
      </c>
      <c r="F10" s="1" t="str">
        <f t="shared" si="0"/>
        <v>RC433_C267</v>
      </c>
      <c r="G10" s="1" t="s">
        <v>34</v>
      </c>
      <c r="H10" s="1" t="str">
        <f>VLOOKUP(D10, domain_ref!C:F, 4, FALSE)</f>
        <v>RC433</v>
      </c>
      <c r="I10" s="1" t="str">
        <f>VLOOKUP(E10, domain_ref!D:F, 3, FALSE)</f>
        <v>FOXA1-Nterm</v>
      </c>
      <c r="J10" s="1" t="str">
        <f t="shared" si="1"/>
        <v>RC433_FOXA1-Nterm</v>
      </c>
      <c r="K10" s="1" t="s">
        <v>15</v>
      </c>
      <c r="L10" s="1" t="s">
        <v>11</v>
      </c>
    </row>
    <row r="11" spans="1:12" x14ac:dyDescent="0.2">
      <c r="A11" s="1" t="s">
        <v>35</v>
      </c>
      <c r="B11" s="1" t="s">
        <v>36</v>
      </c>
      <c r="C11" s="1" t="s">
        <v>8</v>
      </c>
      <c r="D11" s="1" t="str">
        <f t="shared" si="4"/>
        <v>N281</v>
      </c>
      <c r="E11" s="1" t="str">
        <f t="shared" si="3"/>
        <v>RC433</v>
      </c>
      <c r="F11" s="1" t="str">
        <f t="shared" si="0"/>
        <v>N281_RC433</v>
      </c>
      <c r="G11" s="1" t="s">
        <v>37</v>
      </c>
      <c r="H11" s="1" t="str">
        <f>VLOOKUP(D11, domain_ref!C:F, 4, FALSE)</f>
        <v>VP64</v>
      </c>
      <c r="I11" s="1" t="str">
        <f>VLOOKUP(E11, domain_ref!D:F, 3, FALSE)</f>
        <v>RC433</v>
      </c>
      <c r="J11" s="1" t="str">
        <f t="shared" si="1"/>
        <v>VP64_RC433</v>
      </c>
      <c r="K11" s="1" t="s">
        <v>15</v>
      </c>
      <c r="L11" s="1" t="s">
        <v>11</v>
      </c>
    </row>
    <row r="12" spans="1:12" x14ac:dyDescent="0.2">
      <c r="A12" s="1" t="s">
        <v>38</v>
      </c>
      <c r="B12" s="1" t="s">
        <v>39</v>
      </c>
      <c r="C12" s="1" t="s">
        <v>8</v>
      </c>
      <c r="D12" s="1" t="str">
        <f t="shared" si="4"/>
        <v>N218</v>
      </c>
      <c r="E12" s="1" t="str">
        <f t="shared" si="3"/>
        <v>C280</v>
      </c>
      <c r="F12" s="1" t="str">
        <f t="shared" si="0"/>
        <v>N218_C280</v>
      </c>
      <c r="G12" s="1" t="s">
        <v>40</v>
      </c>
      <c r="H12" s="1" t="str">
        <f>VLOOKUP(D12, domain_ref!C:F, 4, FALSE)</f>
        <v>IN80B_HUMAN</v>
      </c>
      <c r="I12" s="1" t="str">
        <f>VLOOKUP(E12, domain_ref!D:F, 3, FALSE)</f>
        <v>CBF1-Cterm</v>
      </c>
      <c r="J12" s="1" t="str">
        <f t="shared" si="1"/>
        <v>IN80B_HUMAN_CBF1-Cterm</v>
      </c>
      <c r="K12" s="1" t="s">
        <v>15</v>
      </c>
      <c r="L12" s="1" t="s">
        <v>11</v>
      </c>
    </row>
    <row r="13" spans="1:12" x14ac:dyDescent="0.2">
      <c r="A13" s="1" t="s">
        <v>41</v>
      </c>
      <c r="B13" s="1" t="s">
        <v>42</v>
      </c>
      <c r="C13" s="1" t="s">
        <v>8</v>
      </c>
      <c r="D13" s="1" t="str">
        <f t="shared" si="4"/>
        <v>N131</v>
      </c>
      <c r="E13" s="1" t="str">
        <f t="shared" si="3"/>
        <v>C185</v>
      </c>
      <c r="F13" s="1" t="str">
        <f t="shared" si="0"/>
        <v>N131_C185</v>
      </c>
      <c r="G13" s="1" t="s">
        <v>43</v>
      </c>
      <c r="H13" s="1" t="str">
        <f>VLOOKUP(D13, domain_ref!C:F, 4, FALSE)</f>
        <v>PRDM2_HUMAN</v>
      </c>
      <c r="I13" s="1" t="str">
        <f>VLOOKUP(E13, domain_ref!D:F, 3, FALSE)</f>
        <v>RBBP7_HUMAN</v>
      </c>
      <c r="J13" s="1" t="str">
        <f t="shared" si="1"/>
        <v>PRDM2_HUMAN_RBBP7_HUMAN</v>
      </c>
      <c r="K13" s="1" t="s">
        <v>10</v>
      </c>
      <c r="L13" s="1" t="s">
        <v>11</v>
      </c>
    </row>
    <row r="14" spans="1:12" x14ac:dyDescent="0.2">
      <c r="A14" s="1" t="s">
        <v>44</v>
      </c>
      <c r="B14" s="1" t="s">
        <v>45</v>
      </c>
      <c r="C14" s="1" t="s">
        <v>8</v>
      </c>
      <c r="D14" s="1" t="str">
        <f t="shared" si="4"/>
        <v>RC433</v>
      </c>
      <c r="E14" s="1" t="str">
        <f t="shared" si="3"/>
        <v>C32</v>
      </c>
      <c r="F14" s="1" t="str">
        <f t="shared" si="0"/>
        <v>RC433_C32</v>
      </c>
      <c r="G14" s="1" t="s">
        <v>46</v>
      </c>
      <c r="H14" s="1" t="str">
        <f>VLOOKUP(D14, domain_ref!C:F, 4, FALSE)</f>
        <v>RC433</v>
      </c>
      <c r="I14" s="1" t="str">
        <f>VLOOKUP(E14, domain_ref!D:F, 3, FALSE)</f>
        <v>Gilbert_Lab_CRISPRi_KRAB</v>
      </c>
      <c r="J14" s="1" t="str">
        <f t="shared" si="1"/>
        <v>RC433_Gilbert_Lab_CRISPRi_KRAB</v>
      </c>
      <c r="K14" s="1" t="s">
        <v>10</v>
      </c>
      <c r="L14" s="1" t="s">
        <v>11</v>
      </c>
    </row>
    <row r="15" spans="1:12" x14ac:dyDescent="0.2">
      <c r="A15" s="1" t="s">
        <v>47</v>
      </c>
      <c r="B15" s="1" t="s">
        <v>48</v>
      </c>
      <c r="C15" s="1" t="s">
        <v>8</v>
      </c>
      <c r="D15" s="1" t="str">
        <f t="shared" si="4"/>
        <v>N105</v>
      </c>
      <c r="E15" s="1" t="str">
        <f t="shared" si="3"/>
        <v>C131</v>
      </c>
      <c r="F15" s="1" t="str">
        <f t="shared" si="0"/>
        <v>N105_C131</v>
      </c>
      <c r="G15" s="1" t="s">
        <v>49</v>
      </c>
      <c r="H15" s="1" t="str">
        <f>VLOOKUP(D15, domain_ref!C:F, 4, FALSE)</f>
        <v>MBD2_HUMAN</v>
      </c>
      <c r="I15" s="1" t="str">
        <f>VLOOKUP(E15, domain_ref!D:F, 3, FALSE)</f>
        <v>PRDM2_HUMAN</v>
      </c>
      <c r="J15" s="1" t="str">
        <f t="shared" si="1"/>
        <v>MBD2_HUMAN_PRDM2_HUMAN</v>
      </c>
      <c r="K15" s="1" t="s">
        <v>50</v>
      </c>
      <c r="L15" s="1" t="s">
        <v>11</v>
      </c>
    </row>
    <row r="16" spans="1:12" x14ac:dyDescent="0.2">
      <c r="A16" s="1" t="s">
        <v>51</v>
      </c>
      <c r="B16" s="1" t="s">
        <v>52</v>
      </c>
      <c r="C16" s="1" t="s">
        <v>8</v>
      </c>
      <c r="D16" s="1" t="str">
        <f t="shared" si="4"/>
        <v>N252</v>
      </c>
      <c r="E16" s="1" t="str">
        <f t="shared" si="3"/>
        <v>C46</v>
      </c>
      <c r="F16" s="1" t="str">
        <f t="shared" si="0"/>
        <v>N252_C46</v>
      </c>
      <c r="G16" s="1" t="s">
        <v>53</v>
      </c>
      <c r="H16" s="1" t="str">
        <f>VLOOKUP(D16, domain_ref!C:F, 4, FALSE)</f>
        <v>HCFC1_HUMAN</v>
      </c>
      <c r="I16" s="1" t="str">
        <f>VLOOKUP(E16, domain_ref!D:F, 3, FALSE)</f>
        <v>SMRD1_HUMAN</v>
      </c>
      <c r="J16" s="1" t="str">
        <f t="shared" si="1"/>
        <v>HCFC1_HUMAN_SMRD1_HUMAN</v>
      </c>
      <c r="K16" s="1" t="s">
        <v>50</v>
      </c>
      <c r="L16" s="1" t="s">
        <v>54</v>
      </c>
    </row>
    <row r="17" spans="1:12" x14ac:dyDescent="0.2">
      <c r="A17" s="1" t="s">
        <v>55</v>
      </c>
      <c r="B17" s="1" t="s">
        <v>56</v>
      </c>
      <c r="C17" s="1" t="s">
        <v>8</v>
      </c>
      <c r="D17" s="1" t="str">
        <f t="shared" si="4"/>
        <v>N252</v>
      </c>
      <c r="E17" s="1" t="str">
        <f t="shared" si="3"/>
        <v>RC433</v>
      </c>
      <c r="F17" s="1" t="str">
        <f t="shared" si="0"/>
        <v>N252_RC433</v>
      </c>
      <c r="G17" s="1" t="s">
        <v>57</v>
      </c>
      <c r="H17" s="1" t="str">
        <f>VLOOKUP(D17, domain_ref!C:F, 4, FALSE)</f>
        <v>HCFC1_HUMAN</v>
      </c>
      <c r="I17" s="1" t="str">
        <f>VLOOKUP(E17, domain_ref!D:F, 3, FALSE)</f>
        <v>RC433</v>
      </c>
      <c r="J17" s="1" t="str">
        <f t="shared" si="1"/>
        <v>HCFC1_HUMAN_RC433</v>
      </c>
      <c r="K17" s="1" t="s">
        <v>50</v>
      </c>
      <c r="L17" s="1" t="s">
        <v>54</v>
      </c>
    </row>
    <row r="18" spans="1:12" x14ac:dyDescent="0.2">
      <c r="A18" s="1" t="s">
        <v>58</v>
      </c>
      <c r="B18" s="1" t="s">
        <v>59</v>
      </c>
      <c r="C18" s="1" t="s">
        <v>8</v>
      </c>
      <c r="D18" s="1" t="str">
        <f t="shared" si="4"/>
        <v>RC433</v>
      </c>
      <c r="E18" s="1" t="str">
        <f t="shared" si="3"/>
        <v>C46</v>
      </c>
      <c r="F18" s="1" t="str">
        <f t="shared" si="0"/>
        <v>RC433_C46</v>
      </c>
      <c r="G18" s="1" t="s">
        <v>60</v>
      </c>
      <c r="H18" s="1" t="str">
        <f>VLOOKUP(D18, domain_ref!C:F, 4, FALSE)</f>
        <v>RC433</v>
      </c>
      <c r="I18" s="1" t="str">
        <f>VLOOKUP(E18, domain_ref!D:F, 3, FALSE)</f>
        <v>SMRD1_HUMAN</v>
      </c>
      <c r="J18" s="1" t="str">
        <f t="shared" si="1"/>
        <v>RC433_SMRD1_HUMAN</v>
      </c>
      <c r="K18" s="1" t="s">
        <v>50</v>
      </c>
      <c r="L18" s="1" t="s">
        <v>54</v>
      </c>
    </row>
    <row r="19" spans="1:12" x14ac:dyDescent="0.2">
      <c r="A19" s="1" t="s">
        <v>61</v>
      </c>
      <c r="B19" s="1" t="s">
        <v>62</v>
      </c>
      <c r="C19" s="1" t="s">
        <v>8</v>
      </c>
      <c r="D19" s="1" t="str">
        <f t="shared" si="4"/>
        <v>N105</v>
      </c>
      <c r="E19" s="1" t="str">
        <f t="shared" si="3"/>
        <v>RC433</v>
      </c>
      <c r="F19" s="1" t="str">
        <f t="shared" si="0"/>
        <v>N105_RC433</v>
      </c>
      <c r="G19" s="1" t="s">
        <v>63</v>
      </c>
      <c r="H19" s="1" t="str">
        <f>VLOOKUP(D19, domain_ref!C:F, 4, FALSE)</f>
        <v>MBD2_HUMAN</v>
      </c>
      <c r="I19" s="1" t="str">
        <f>VLOOKUP(E19, domain_ref!D:F, 3, FALSE)</f>
        <v>RC433</v>
      </c>
      <c r="J19" s="1" t="str">
        <f t="shared" si="1"/>
        <v>MBD2_HUMAN_RC433</v>
      </c>
      <c r="K19" s="1" t="s">
        <v>50</v>
      </c>
      <c r="L19" s="1" t="s">
        <v>54</v>
      </c>
    </row>
    <row r="20" spans="1:12" x14ac:dyDescent="0.2">
      <c r="A20" s="1" t="s">
        <v>64</v>
      </c>
      <c r="B20" s="1" t="s">
        <v>65</v>
      </c>
      <c r="C20" s="1" t="s">
        <v>8</v>
      </c>
      <c r="D20" s="1" t="str">
        <f t="shared" si="4"/>
        <v>RC433</v>
      </c>
      <c r="E20" s="1" t="str">
        <f t="shared" si="3"/>
        <v>C131</v>
      </c>
      <c r="F20" s="1" t="str">
        <f t="shared" si="0"/>
        <v>RC433_C131</v>
      </c>
      <c r="G20" s="1" t="s">
        <v>66</v>
      </c>
      <c r="H20" s="1" t="str">
        <f>VLOOKUP(D20, domain_ref!C:F, 4, FALSE)</f>
        <v>RC433</v>
      </c>
      <c r="I20" s="1" t="str">
        <f>VLOOKUP(E20, domain_ref!D:F, 3, FALSE)</f>
        <v>PRDM2_HUMAN</v>
      </c>
      <c r="J20" s="1" t="str">
        <f t="shared" si="1"/>
        <v>RC433_PRDM2_HUMAN</v>
      </c>
      <c r="K20" s="1" t="s">
        <v>50</v>
      </c>
      <c r="L20" s="1" t="s">
        <v>54</v>
      </c>
    </row>
    <row r="21" spans="1:12" x14ac:dyDescent="0.2">
      <c r="A21" s="1"/>
      <c r="B21" s="1" t="s">
        <v>1272</v>
      </c>
      <c r="C21" s="1" t="s">
        <v>8</v>
      </c>
      <c r="D21" s="1" t="str">
        <f t="shared" ref="D21" si="5">MID(B21, SEARCH("SFFV-", B21) + LEN("SFFV-"), SEARCH("-XTEN16-", B21) - SEARCH("SFFV-", B21) - LEN("SFFV-"))</f>
        <v>N111</v>
      </c>
      <c r="E21" s="1" t="str">
        <f t="shared" ref="E21" si="6">MID(B21, SEARCH("-XTEN80-", B21) + LEN("-XTEN80-"), SEARCH("-IRES-Puro-P2A-mNeonGreen", B21) - SEARCH("-XTEN80-", B21) - LEN("-XTEN80-"))</f>
        <v>C278</v>
      </c>
      <c r="F21" s="1" t="str">
        <f t="shared" ref="F21" si="7">CONCATENATE(D21,"_",E21)</f>
        <v>N111_C278</v>
      </c>
      <c r="G21" s="1"/>
      <c r="H21" s="1" t="str">
        <f>VLOOKUP(D21, domain_ref!C:F, 4, FALSE)</f>
        <v>KDM5A_HUMAN</v>
      </c>
      <c r="I21" s="1" t="str">
        <f>VLOOKUP(E21, domain_ref!D:F, 3, FALSE)</f>
        <v>TET2CD</v>
      </c>
      <c r="J21" s="1" t="str">
        <f t="shared" ref="J21" si="8">CONCATENATE(H21,"_",I21)</f>
        <v>KDM5A_HUMAN_TET2CD</v>
      </c>
      <c r="K21" s="1"/>
      <c r="L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7BB7-561F-B545-A247-FFF3F25C6BFD}">
  <dimension ref="A1:H349"/>
  <sheetViews>
    <sheetView topLeftCell="A329" zoomScale="172" workbookViewId="0">
      <selection activeCell="B348" sqref="B348"/>
    </sheetView>
  </sheetViews>
  <sheetFormatPr baseColWidth="10" defaultRowHeight="16" x14ac:dyDescent="0.2"/>
  <sheetData>
    <row r="1" spans="1:8" x14ac:dyDescent="0.2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/>
    </row>
    <row r="2" spans="1:8" x14ac:dyDescent="0.2">
      <c r="A2" s="1" t="s">
        <v>78</v>
      </c>
      <c r="B2" s="1">
        <v>1</v>
      </c>
      <c r="C2" s="2" t="s">
        <v>79</v>
      </c>
      <c r="D2" s="2" t="s">
        <v>80</v>
      </c>
      <c r="E2" s="1" t="s">
        <v>81</v>
      </c>
      <c r="F2" s="1" t="s">
        <v>82</v>
      </c>
      <c r="G2" s="1"/>
      <c r="H2" s="1"/>
    </row>
    <row r="3" spans="1:8" x14ac:dyDescent="0.2">
      <c r="A3" s="1" t="s">
        <v>78</v>
      </c>
      <c r="B3" s="1">
        <v>2</v>
      </c>
      <c r="C3" s="1" t="s">
        <v>83</v>
      </c>
      <c r="D3" s="2" t="s">
        <v>84</v>
      </c>
      <c r="E3" s="1" t="s">
        <v>81</v>
      </c>
      <c r="F3" s="1" t="s">
        <v>82</v>
      </c>
      <c r="G3" s="1"/>
      <c r="H3" s="1"/>
    </row>
    <row r="4" spans="1:8" x14ac:dyDescent="0.2">
      <c r="A4" s="1" t="s">
        <v>78</v>
      </c>
      <c r="B4" s="1">
        <v>3</v>
      </c>
      <c r="C4" s="2" t="s">
        <v>85</v>
      </c>
      <c r="D4" s="2" t="s">
        <v>86</v>
      </c>
      <c r="E4" s="1" t="s">
        <v>87</v>
      </c>
      <c r="F4" s="1" t="s">
        <v>88</v>
      </c>
      <c r="G4" s="1"/>
      <c r="H4" s="1" t="e">
        <f>MEDIAN(#REF!)</f>
        <v>#REF!</v>
      </c>
    </row>
    <row r="5" spans="1:8" x14ac:dyDescent="0.2">
      <c r="A5" s="1" t="s">
        <v>78</v>
      </c>
      <c r="B5" s="1">
        <v>4</v>
      </c>
      <c r="C5" s="1" t="s">
        <v>89</v>
      </c>
      <c r="D5" s="2" t="s">
        <v>90</v>
      </c>
      <c r="E5" s="1" t="s">
        <v>91</v>
      </c>
      <c r="F5" s="1" t="s">
        <v>92</v>
      </c>
      <c r="G5" s="1" t="s">
        <v>93</v>
      </c>
      <c r="H5" s="1"/>
    </row>
    <row r="6" spans="1:8" x14ac:dyDescent="0.2">
      <c r="A6" s="1" t="s">
        <v>78</v>
      </c>
      <c r="B6" s="1">
        <v>5</v>
      </c>
      <c r="C6" s="2" t="s">
        <v>94</v>
      </c>
      <c r="D6" s="2" t="s">
        <v>95</v>
      </c>
      <c r="E6" s="1" t="s">
        <v>96</v>
      </c>
      <c r="F6" s="1" t="s">
        <v>97</v>
      </c>
      <c r="G6" s="1"/>
      <c r="H6" s="1"/>
    </row>
    <row r="7" spans="1:8" x14ac:dyDescent="0.2">
      <c r="A7" s="1" t="s">
        <v>78</v>
      </c>
      <c r="B7" s="1">
        <v>6</v>
      </c>
      <c r="C7" s="2" t="s">
        <v>98</v>
      </c>
      <c r="D7" s="2" t="s">
        <v>99</v>
      </c>
      <c r="E7" s="1" t="s">
        <v>96</v>
      </c>
      <c r="F7" s="1" t="s">
        <v>97</v>
      </c>
      <c r="G7" s="1"/>
      <c r="H7" s="1"/>
    </row>
    <row r="8" spans="1:8" x14ac:dyDescent="0.2">
      <c r="A8" s="1" t="s">
        <v>78</v>
      </c>
      <c r="B8" s="1">
        <v>7</v>
      </c>
      <c r="C8" s="2" t="s">
        <v>100</v>
      </c>
      <c r="D8" s="2" t="s">
        <v>101</v>
      </c>
      <c r="E8" s="1" t="s">
        <v>102</v>
      </c>
      <c r="F8" s="1" t="s">
        <v>103</v>
      </c>
      <c r="G8" s="1"/>
      <c r="H8" s="1"/>
    </row>
    <row r="9" spans="1:8" x14ac:dyDescent="0.2">
      <c r="A9" s="1" t="s">
        <v>78</v>
      </c>
      <c r="B9" s="1">
        <v>8</v>
      </c>
      <c r="C9" s="2" t="s">
        <v>104</v>
      </c>
      <c r="D9" s="2" t="s">
        <v>105</v>
      </c>
      <c r="E9" s="1" t="s">
        <v>106</v>
      </c>
      <c r="F9" s="1" t="s">
        <v>107</v>
      </c>
      <c r="G9" s="1"/>
      <c r="H9" s="1"/>
    </row>
    <row r="10" spans="1:8" x14ac:dyDescent="0.2">
      <c r="A10" s="1" t="s">
        <v>78</v>
      </c>
      <c r="B10" s="1">
        <v>9</v>
      </c>
      <c r="C10" s="2" t="s">
        <v>108</v>
      </c>
      <c r="D10" s="2" t="s">
        <v>109</v>
      </c>
      <c r="E10" s="1" t="s">
        <v>106</v>
      </c>
      <c r="F10" s="1" t="s">
        <v>107</v>
      </c>
      <c r="G10" s="1"/>
      <c r="H10" s="1"/>
    </row>
    <row r="11" spans="1:8" x14ac:dyDescent="0.2">
      <c r="A11" s="1" t="s">
        <v>78</v>
      </c>
      <c r="B11" s="1">
        <v>10</v>
      </c>
      <c r="C11" s="2" t="s">
        <v>110</v>
      </c>
      <c r="D11" s="2" t="s">
        <v>111</v>
      </c>
      <c r="E11" s="1" t="s">
        <v>112</v>
      </c>
      <c r="F11" s="1" t="s">
        <v>113</v>
      </c>
      <c r="G11" s="1"/>
      <c r="H11" s="1"/>
    </row>
    <row r="12" spans="1:8" x14ac:dyDescent="0.2">
      <c r="A12" s="1" t="s">
        <v>78</v>
      </c>
      <c r="B12" s="1">
        <v>11</v>
      </c>
      <c r="C12" s="2" t="s">
        <v>114</v>
      </c>
      <c r="D12" s="2" t="s">
        <v>115</v>
      </c>
      <c r="E12" s="1" t="s">
        <v>116</v>
      </c>
      <c r="F12" s="1" t="s">
        <v>117</v>
      </c>
      <c r="G12" s="1"/>
      <c r="H12" s="1"/>
    </row>
    <row r="13" spans="1:8" x14ac:dyDescent="0.2">
      <c r="A13" s="1" t="s">
        <v>78</v>
      </c>
      <c r="B13" s="1">
        <v>12</v>
      </c>
      <c r="C13" s="2" t="s">
        <v>118</v>
      </c>
      <c r="D13" s="2" t="s">
        <v>119</v>
      </c>
      <c r="E13" s="1" t="s">
        <v>116</v>
      </c>
      <c r="F13" s="1" t="s">
        <v>117</v>
      </c>
      <c r="G13" s="1"/>
      <c r="H13" s="1"/>
    </row>
    <row r="14" spans="1:8" x14ac:dyDescent="0.2">
      <c r="A14" s="1" t="s">
        <v>78</v>
      </c>
      <c r="B14" s="1">
        <v>14</v>
      </c>
      <c r="C14" s="2" t="s">
        <v>120</v>
      </c>
      <c r="D14" s="2" t="s">
        <v>121</v>
      </c>
      <c r="E14" s="1" t="s">
        <v>122</v>
      </c>
      <c r="F14" s="1" t="s">
        <v>123</v>
      </c>
      <c r="G14" s="1"/>
      <c r="H14" s="1"/>
    </row>
    <row r="15" spans="1:8" x14ac:dyDescent="0.2">
      <c r="A15" s="1" t="s">
        <v>78</v>
      </c>
      <c r="B15" s="1">
        <v>15</v>
      </c>
      <c r="C15" s="2" t="s">
        <v>124</v>
      </c>
      <c r="D15" s="2" t="s">
        <v>125</v>
      </c>
      <c r="E15" s="1" t="s">
        <v>126</v>
      </c>
      <c r="F15" s="1" t="s">
        <v>127</v>
      </c>
      <c r="G15" s="1"/>
      <c r="H15" s="1"/>
    </row>
    <row r="16" spans="1:8" x14ac:dyDescent="0.2">
      <c r="A16" s="1" t="s">
        <v>78</v>
      </c>
      <c r="B16" s="1">
        <v>16</v>
      </c>
      <c r="C16" s="2" t="s">
        <v>128</v>
      </c>
      <c r="D16" s="2" t="s">
        <v>129</v>
      </c>
      <c r="E16" s="1" t="s">
        <v>126</v>
      </c>
      <c r="F16" s="1" t="s">
        <v>127</v>
      </c>
      <c r="G16" s="1"/>
      <c r="H16" s="1"/>
    </row>
    <row r="17" spans="1:8" x14ac:dyDescent="0.2">
      <c r="A17" s="1" t="s">
        <v>78</v>
      </c>
      <c r="B17" s="1">
        <v>17</v>
      </c>
      <c r="C17" s="2" t="s">
        <v>130</v>
      </c>
      <c r="D17" s="2" t="s">
        <v>131</v>
      </c>
      <c r="E17" s="1" t="s">
        <v>132</v>
      </c>
      <c r="F17" s="1" t="s">
        <v>133</v>
      </c>
      <c r="G17" s="1"/>
      <c r="H17" s="1"/>
    </row>
    <row r="18" spans="1:8" x14ac:dyDescent="0.2">
      <c r="A18" s="1" t="s">
        <v>78</v>
      </c>
      <c r="B18" s="1">
        <v>18</v>
      </c>
      <c r="C18" s="2" t="s">
        <v>134</v>
      </c>
      <c r="D18" s="2" t="s">
        <v>135</v>
      </c>
      <c r="E18" s="1" t="s">
        <v>132</v>
      </c>
      <c r="F18" s="1" t="s">
        <v>133</v>
      </c>
      <c r="G18" s="1"/>
      <c r="H18" s="1"/>
    </row>
    <row r="19" spans="1:8" x14ac:dyDescent="0.2">
      <c r="A19" s="1" t="s">
        <v>78</v>
      </c>
      <c r="B19" s="1">
        <v>20</v>
      </c>
      <c r="C19" s="2" t="s">
        <v>136</v>
      </c>
      <c r="D19" s="2" t="s">
        <v>137</v>
      </c>
      <c r="E19" s="1" t="s">
        <v>138</v>
      </c>
      <c r="F19" s="1" t="s">
        <v>139</v>
      </c>
      <c r="G19" s="1"/>
      <c r="H19" s="1"/>
    </row>
    <row r="20" spans="1:8" x14ac:dyDescent="0.2">
      <c r="A20" s="1" t="s">
        <v>78</v>
      </c>
      <c r="B20" s="1">
        <v>21</v>
      </c>
      <c r="C20" s="2" t="s">
        <v>140</v>
      </c>
      <c r="D20" s="2" t="s">
        <v>141</v>
      </c>
      <c r="E20" s="1" t="s">
        <v>138</v>
      </c>
      <c r="F20" s="1" t="s">
        <v>139</v>
      </c>
      <c r="G20" s="1"/>
      <c r="H20" s="1"/>
    </row>
    <row r="21" spans="1:8" x14ac:dyDescent="0.2">
      <c r="A21" s="1" t="s">
        <v>78</v>
      </c>
      <c r="B21" s="1">
        <v>22</v>
      </c>
      <c r="C21" s="2" t="s">
        <v>142</v>
      </c>
      <c r="D21" s="2" t="s">
        <v>143</v>
      </c>
      <c r="E21" s="1" t="s">
        <v>144</v>
      </c>
      <c r="F21" s="1" t="s">
        <v>145</v>
      </c>
      <c r="G21" s="1"/>
      <c r="H21" s="1"/>
    </row>
    <row r="22" spans="1:8" x14ac:dyDescent="0.2">
      <c r="A22" s="1" t="s">
        <v>78</v>
      </c>
      <c r="B22" s="1">
        <v>23</v>
      </c>
      <c r="C22" s="1" t="s">
        <v>146</v>
      </c>
      <c r="D22" s="2" t="s">
        <v>147</v>
      </c>
      <c r="E22" s="1" t="s">
        <v>144</v>
      </c>
      <c r="F22" s="1" t="s">
        <v>145</v>
      </c>
      <c r="G22" s="1" t="s">
        <v>93</v>
      </c>
      <c r="H22" s="1"/>
    </row>
    <row r="23" spans="1:8" x14ac:dyDescent="0.2">
      <c r="A23" s="1" t="s">
        <v>78</v>
      </c>
      <c r="B23" s="1">
        <v>24</v>
      </c>
      <c r="C23" s="2" t="s">
        <v>148</v>
      </c>
      <c r="D23" s="2" t="s">
        <v>149</v>
      </c>
      <c r="E23" s="1" t="s">
        <v>150</v>
      </c>
      <c r="F23" s="1" t="s">
        <v>151</v>
      </c>
      <c r="G23" s="1"/>
      <c r="H23" s="1"/>
    </row>
    <row r="24" spans="1:8" x14ac:dyDescent="0.2">
      <c r="A24" s="1" t="s">
        <v>78</v>
      </c>
      <c r="B24" s="1">
        <v>25</v>
      </c>
      <c r="C24" s="2" t="s">
        <v>152</v>
      </c>
      <c r="D24" s="2" t="s">
        <v>153</v>
      </c>
      <c r="E24" s="1" t="s">
        <v>150</v>
      </c>
      <c r="F24" s="1" t="s">
        <v>151</v>
      </c>
      <c r="G24" s="1"/>
      <c r="H24" s="1"/>
    </row>
    <row r="25" spans="1:8" x14ac:dyDescent="0.2">
      <c r="A25" s="1" t="s">
        <v>78</v>
      </c>
      <c r="B25" s="1">
        <v>26</v>
      </c>
      <c r="C25" s="2" t="s">
        <v>154</v>
      </c>
      <c r="D25" s="2" t="s">
        <v>155</v>
      </c>
      <c r="E25" s="1" t="s">
        <v>156</v>
      </c>
      <c r="F25" s="1" t="s">
        <v>157</v>
      </c>
      <c r="G25" s="1"/>
      <c r="H25" s="1"/>
    </row>
    <row r="26" spans="1:8" x14ac:dyDescent="0.2">
      <c r="A26" s="1" t="s">
        <v>78</v>
      </c>
      <c r="B26" s="1">
        <v>27</v>
      </c>
      <c r="C26" s="2" t="s">
        <v>158</v>
      </c>
      <c r="D26" s="2" t="s">
        <v>159</v>
      </c>
      <c r="E26" s="1" t="s">
        <v>156</v>
      </c>
      <c r="F26" s="1" t="s">
        <v>157</v>
      </c>
      <c r="G26" s="1"/>
      <c r="H26" s="1"/>
    </row>
    <row r="27" spans="1:8" x14ac:dyDescent="0.2">
      <c r="A27" s="1" t="s">
        <v>78</v>
      </c>
      <c r="B27" s="1">
        <v>28</v>
      </c>
      <c r="C27" s="1" t="s">
        <v>160</v>
      </c>
      <c r="D27" s="2" t="s">
        <v>161</v>
      </c>
      <c r="E27" s="1" t="s">
        <v>162</v>
      </c>
      <c r="F27" s="1" t="s">
        <v>163</v>
      </c>
      <c r="G27" s="1" t="s">
        <v>93</v>
      </c>
      <c r="H27" s="1"/>
    </row>
    <row r="28" spans="1:8" x14ac:dyDescent="0.2">
      <c r="A28" s="1" t="s">
        <v>78</v>
      </c>
      <c r="B28" s="1">
        <v>29</v>
      </c>
      <c r="C28" s="2" t="s">
        <v>164</v>
      </c>
      <c r="D28" s="2" t="s">
        <v>165</v>
      </c>
      <c r="E28" s="1" t="s">
        <v>166</v>
      </c>
      <c r="F28" s="1" t="s">
        <v>167</v>
      </c>
      <c r="G28" s="1"/>
      <c r="H28" s="1"/>
    </row>
    <row r="29" spans="1:8" x14ac:dyDescent="0.2">
      <c r="A29" s="1" t="s">
        <v>78</v>
      </c>
      <c r="B29" s="1">
        <v>30</v>
      </c>
      <c r="C29" s="1" t="s">
        <v>168</v>
      </c>
      <c r="D29" s="2" t="s">
        <v>169</v>
      </c>
      <c r="E29" s="1" t="s">
        <v>170</v>
      </c>
      <c r="F29" s="1" t="s">
        <v>171</v>
      </c>
      <c r="G29" s="1" t="s">
        <v>93</v>
      </c>
      <c r="H29" s="1"/>
    </row>
    <row r="30" spans="1:8" x14ac:dyDescent="0.2">
      <c r="A30" s="1" t="s">
        <v>78</v>
      </c>
      <c r="B30" s="1">
        <v>31</v>
      </c>
      <c r="C30" s="2" t="s">
        <v>172</v>
      </c>
      <c r="D30" s="2" t="s">
        <v>173</v>
      </c>
      <c r="E30" s="1" t="s">
        <v>174</v>
      </c>
      <c r="F30" s="1" t="s">
        <v>175</v>
      </c>
      <c r="G30" s="1"/>
      <c r="H30" s="1"/>
    </row>
    <row r="31" spans="1:8" x14ac:dyDescent="0.2">
      <c r="A31" s="1" t="s">
        <v>78</v>
      </c>
      <c r="B31" s="1">
        <v>32</v>
      </c>
      <c r="C31" s="2" t="s">
        <v>176</v>
      </c>
      <c r="D31" s="2" t="s">
        <v>177</v>
      </c>
      <c r="E31" s="1" t="s">
        <v>102</v>
      </c>
      <c r="F31" s="1" t="s">
        <v>178</v>
      </c>
      <c r="G31" s="1"/>
      <c r="H31" s="1"/>
    </row>
    <row r="32" spans="1:8" x14ac:dyDescent="0.2">
      <c r="A32" s="1" t="s">
        <v>78</v>
      </c>
      <c r="B32" s="1">
        <v>33</v>
      </c>
      <c r="C32" s="2" t="s">
        <v>179</v>
      </c>
      <c r="D32" s="2" t="s">
        <v>180</v>
      </c>
      <c r="E32" s="1" t="s">
        <v>126</v>
      </c>
      <c r="F32" s="1" t="s">
        <v>181</v>
      </c>
      <c r="G32" s="1"/>
      <c r="H32" s="1"/>
    </row>
    <row r="33" spans="1:8" x14ac:dyDescent="0.2">
      <c r="A33" s="1" t="s">
        <v>78</v>
      </c>
      <c r="B33" s="1">
        <v>34</v>
      </c>
      <c r="C33" s="2" t="s">
        <v>182</v>
      </c>
      <c r="D33" s="2" t="s">
        <v>183</v>
      </c>
      <c r="E33" s="1"/>
      <c r="F33" s="1" t="s">
        <v>184</v>
      </c>
      <c r="G33" s="1"/>
      <c r="H33" s="1"/>
    </row>
    <row r="34" spans="1:8" x14ac:dyDescent="0.2">
      <c r="A34" s="1" t="s">
        <v>78</v>
      </c>
      <c r="B34" s="1">
        <v>35</v>
      </c>
      <c r="C34" s="2" t="s">
        <v>185</v>
      </c>
      <c r="D34" s="2" t="s">
        <v>186</v>
      </c>
      <c r="E34" s="1"/>
      <c r="F34" s="1" t="s">
        <v>187</v>
      </c>
      <c r="G34" s="1"/>
      <c r="H34" s="1"/>
    </row>
    <row r="35" spans="1:8" x14ac:dyDescent="0.2">
      <c r="A35" s="1" t="s">
        <v>78</v>
      </c>
      <c r="B35" s="1">
        <v>36</v>
      </c>
      <c r="C35" s="1" t="s">
        <v>188</v>
      </c>
      <c r="D35" s="2" t="s">
        <v>189</v>
      </c>
      <c r="E35" s="1" t="s">
        <v>144</v>
      </c>
      <c r="F35" s="1" t="s">
        <v>190</v>
      </c>
      <c r="G35" s="1" t="s">
        <v>93</v>
      </c>
      <c r="H35" s="1"/>
    </row>
    <row r="36" spans="1:8" x14ac:dyDescent="0.2">
      <c r="A36" s="1" t="s">
        <v>78</v>
      </c>
      <c r="B36" s="1">
        <v>37</v>
      </c>
      <c r="C36" s="1" t="s">
        <v>191</v>
      </c>
      <c r="D36" s="2" t="s">
        <v>192</v>
      </c>
      <c r="E36" s="1" t="s">
        <v>91</v>
      </c>
      <c r="F36" s="1" t="s">
        <v>92</v>
      </c>
      <c r="G36" s="1" t="s">
        <v>93</v>
      </c>
      <c r="H36" s="1"/>
    </row>
    <row r="37" spans="1:8" x14ac:dyDescent="0.2">
      <c r="A37" s="1" t="s">
        <v>78</v>
      </c>
      <c r="B37" s="1">
        <v>38</v>
      </c>
      <c r="C37" s="1" t="s">
        <v>193</v>
      </c>
      <c r="D37" s="2" t="s">
        <v>194</v>
      </c>
      <c r="E37" s="1" t="s">
        <v>162</v>
      </c>
      <c r="F37" s="1" t="s">
        <v>163</v>
      </c>
      <c r="G37" s="1"/>
      <c r="H37" s="1"/>
    </row>
    <row r="38" spans="1:8" x14ac:dyDescent="0.2">
      <c r="A38" s="1" t="s">
        <v>78</v>
      </c>
      <c r="B38" s="1">
        <v>39</v>
      </c>
      <c r="C38" s="1" t="s">
        <v>195</v>
      </c>
      <c r="D38" s="2" t="s">
        <v>196</v>
      </c>
      <c r="E38" s="1" t="s">
        <v>170</v>
      </c>
      <c r="F38" s="1" t="s">
        <v>171</v>
      </c>
      <c r="G38" s="1" t="s">
        <v>93</v>
      </c>
      <c r="H38" s="1"/>
    </row>
    <row r="39" spans="1:8" x14ac:dyDescent="0.2">
      <c r="A39" s="1" t="s">
        <v>197</v>
      </c>
      <c r="B39" s="1">
        <v>40</v>
      </c>
      <c r="C39" s="1" t="s">
        <v>198</v>
      </c>
      <c r="D39" s="1" t="s">
        <v>199</v>
      </c>
      <c r="E39" s="1" t="s">
        <v>200</v>
      </c>
      <c r="F39" s="1" t="s">
        <v>201</v>
      </c>
      <c r="G39" s="1"/>
      <c r="H39" s="1"/>
    </row>
    <row r="40" spans="1:8" x14ac:dyDescent="0.2">
      <c r="A40" s="1" t="s">
        <v>197</v>
      </c>
      <c r="B40" s="1">
        <v>41</v>
      </c>
      <c r="C40" s="1" t="s">
        <v>202</v>
      </c>
      <c r="D40" s="1" t="s">
        <v>203</v>
      </c>
      <c r="E40" s="1" t="s">
        <v>204</v>
      </c>
      <c r="F40" s="1" t="s">
        <v>205</v>
      </c>
      <c r="G40" s="1"/>
      <c r="H40" s="1"/>
    </row>
    <row r="41" spans="1:8" x14ac:dyDescent="0.2">
      <c r="A41" s="1" t="s">
        <v>197</v>
      </c>
      <c r="B41" s="1">
        <v>42</v>
      </c>
      <c r="C41" s="1" t="s">
        <v>206</v>
      </c>
      <c r="D41" s="1" t="s">
        <v>207</v>
      </c>
      <c r="E41" s="1" t="s">
        <v>208</v>
      </c>
      <c r="F41" s="1" t="s">
        <v>209</v>
      </c>
      <c r="G41" s="1"/>
      <c r="H41" s="1"/>
    </row>
    <row r="42" spans="1:8" x14ac:dyDescent="0.2">
      <c r="A42" s="1" t="s">
        <v>197</v>
      </c>
      <c r="B42" s="1">
        <v>43</v>
      </c>
      <c r="C42" s="1" t="s">
        <v>210</v>
      </c>
      <c r="D42" s="1" t="s">
        <v>211</v>
      </c>
      <c r="E42" s="1" t="s">
        <v>212</v>
      </c>
      <c r="F42" s="1" t="s">
        <v>213</v>
      </c>
      <c r="G42" s="1"/>
      <c r="H42" s="1"/>
    </row>
    <row r="43" spans="1:8" x14ac:dyDescent="0.2">
      <c r="A43" s="1" t="s">
        <v>197</v>
      </c>
      <c r="B43" s="1">
        <v>44</v>
      </c>
      <c r="C43" s="1" t="s">
        <v>214</v>
      </c>
      <c r="D43" s="1" t="s">
        <v>215</v>
      </c>
      <c r="E43" s="1" t="s">
        <v>216</v>
      </c>
      <c r="F43" s="1" t="s">
        <v>217</v>
      </c>
      <c r="G43" s="1"/>
      <c r="H43" s="1"/>
    </row>
    <row r="44" spans="1:8" x14ac:dyDescent="0.2">
      <c r="A44" s="1" t="s">
        <v>197</v>
      </c>
      <c r="B44" s="1">
        <v>45</v>
      </c>
      <c r="C44" s="1" t="s">
        <v>218</v>
      </c>
      <c r="D44" s="1" t="s">
        <v>219</v>
      </c>
      <c r="E44" s="1" t="s">
        <v>216</v>
      </c>
      <c r="F44" s="1" t="s">
        <v>217</v>
      </c>
      <c r="G44" s="1"/>
      <c r="H44" s="1"/>
    </row>
    <row r="45" spans="1:8" x14ac:dyDescent="0.2">
      <c r="A45" s="1" t="s">
        <v>197</v>
      </c>
      <c r="B45" s="1">
        <v>46</v>
      </c>
      <c r="C45" s="1" t="s">
        <v>220</v>
      </c>
      <c r="D45" s="1" t="s">
        <v>221</v>
      </c>
      <c r="E45" s="1" t="s">
        <v>222</v>
      </c>
      <c r="F45" s="1" t="s">
        <v>223</v>
      </c>
      <c r="G45" s="1"/>
      <c r="H45" s="1"/>
    </row>
    <row r="46" spans="1:8" x14ac:dyDescent="0.2">
      <c r="A46" s="1" t="s">
        <v>197</v>
      </c>
      <c r="B46" s="1">
        <v>47</v>
      </c>
      <c r="C46" s="1" t="s">
        <v>224</v>
      </c>
      <c r="D46" s="1" t="s">
        <v>225</v>
      </c>
      <c r="E46" s="1" t="s">
        <v>226</v>
      </c>
      <c r="F46" s="1" t="s">
        <v>227</v>
      </c>
      <c r="G46" s="1"/>
      <c r="H46" s="1"/>
    </row>
    <row r="47" spans="1:8" x14ac:dyDescent="0.2">
      <c r="A47" s="1" t="s">
        <v>197</v>
      </c>
      <c r="B47" s="1">
        <v>48</v>
      </c>
      <c r="C47" s="1" t="s">
        <v>228</v>
      </c>
      <c r="D47" s="1" t="s">
        <v>229</v>
      </c>
      <c r="E47" s="1" t="s">
        <v>230</v>
      </c>
      <c r="F47" s="1" t="s">
        <v>231</v>
      </c>
      <c r="G47" s="1"/>
      <c r="H47" s="1"/>
    </row>
    <row r="48" spans="1:8" x14ac:dyDescent="0.2">
      <c r="A48" s="1" t="s">
        <v>197</v>
      </c>
      <c r="B48" s="1">
        <v>49</v>
      </c>
      <c r="C48" s="1" t="s">
        <v>232</v>
      </c>
      <c r="D48" s="1" t="s">
        <v>233</v>
      </c>
      <c r="E48" s="1" t="s">
        <v>234</v>
      </c>
      <c r="F48" s="1" t="s">
        <v>235</v>
      </c>
      <c r="G48" s="1"/>
      <c r="H48" s="1"/>
    </row>
    <row r="49" spans="1:8" x14ac:dyDescent="0.2">
      <c r="A49" s="1" t="s">
        <v>197</v>
      </c>
      <c r="B49" s="1">
        <v>50</v>
      </c>
      <c r="C49" s="1" t="s">
        <v>236</v>
      </c>
      <c r="D49" s="1" t="s">
        <v>237</v>
      </c>
      <c r="E49" s="1" t="s">
        <v>234</v>
      </c>
      <c r="F49" s="1" t="s">
        <v>235</v>
      </c>
      <c r="G49" s="1"/>
      <c r="H49" s="1"/>
    </row>
    <row r="50" spans="1:8" x14ac:dyDescent="0.2">
      <c r="A50" s="1" t="s">
        <v>197</v>
      </c>
      <c r="B50" s="1">
        <v>51</v>
      </c>
      <c r="C50" s="1" t="s">
        <v>238</v>
      </c>
      <c r="D50" s="1" t="s">
        <v>239</v>
      </c>
      <c r="E50" s="1" t="s">
        <v>240</v>
      </c>
      <c r="F50" s="1" t="s">
        <v>241</v>
      </c>
      <c r="G50" s="1"/>
      <c r="H50" s="1"/>
    </row>
    <row r="51" spans="1:8" x14ac:dyDescent="0.2">
      <c r="A51" s="1" t="s">
        <v>197</v>
      </c>
      <c r="B51" s="1">
        <v>52</v>
      </c>
      <c r="C51" s="1" t="s">
        <v>242</v>
      </c>
      <c r="D51" s="1" t="s">
        <v>243</v>
      </c>
      <c r="E51" s="1" t="s">
        <v>244</v>
      </c>
      <c r="F51" s="1" t="s">
        <v>245</v>
      </c>
      <c r="G51" s="1"/>
      <c r="H51" s="1"/>
    </row>
    <row r="52" spans="1:8" x14ac:dyDescent="0.2">
      <c r="A52" s="1" t="s">
        <v>197</v>
      </c>
      <c r="B52" s="1">
        <v>53</v>
      </c>
      <c r="C52" s="1" t="s">
        <v>246</v>
      </c>
      <c r="D52" s="1" t="s">
        <v>247</v>
      </c>
      <c r="E52" s="1" t="s">
        <v>244</v>
      </c>
      <c r="F52" s="1" t="s">
        <v>245</v>
      </c>
      <c r="G52" s="1"/>
      <c r="H52" s="1"/>
    </row>
    <row r="53" spans="1:8" x14ac:dyDescent="0.2">
      <c r="A53" s="1" t="s">
        <v>197</v>
      </c>
      <c r="B53" s="1">
        <v>54</v>
      </c>
      <c r="C53" s="1" t="s">
        <v>248</v>
      </c>
      <c r="D53" s="1" t="s">
        <v>249</v>
      </c>
      <c r="E53" s="1" t="s">
        <v>244</v>
      </c>
      <c r="F53" s="1" t="s">
        <v>245</v>
      </c>
      <c r="G53" s="1"/>
      <c r="H53" s="1"/>
    </row>
    <row r="54" spans="1:8" x14ac:dyDescent="0.2">
      <c r="A54" s="1" t="s">
        <v>197</v>
      </c>
      <c r="B54" s="1">
        <v>55</v>
      </c>
      <c r="C54" s="1" t="s">
        <v>250</v>
      </c>
      <c r="D54" s="1" t="s">
        <v>251</v>
      </c>
      <c r="E54" s="1" t="s">
        <v>252</v>
      </c>
      <c r="F54" s="1" t="s">
        <v>253</v>
      </c>
      <c r="G54" s="1"/>
      <c r="H54" s="1"/>
    </row>
    <row r="55" spans="1:8" x14ac:dyDescent="0.2">
      <c r="A55" s="1" t="s">
        <v>197</v>
      </c>
      <c r="B55" s="1">
        <v>56</v>
      </c>
      <c r="C55" s="1" t="s">
        <v>254</v>
      </c>
      <c r="D55" s="1" t="s">
        <v>255</v>
      </c>
      <c r="E55" s="1" t="s">
        <v>256</v>
      </c>
      <c r="F55" s="1" t="s">
        <v>257</v>
      </c>
      <c r="G55" s="1"/>
      <c r="H55" s="1"/>
    </row>
    <row r="56" spans="1:8" x14ac:dyDescent="0.2">
      <c r="A56" s="1" t="s">
        <v>197</v>
      </c>
      <c r="B56" s="1">
        <v>57</v>
      </c>
      <c r="C56" s="1" t="s">
        <v>258</v>
      </c>
      <c r="D56" s="1" t="s">
        <v>259</v>
      </c>
      <c r="E56" s="1" t="s">
        <v>260</v>
      </c>
      <c r="F56" s="1" t="s">
        <v>261</v>
      </c>
      <c r="G56" s="1"/>
      <c r="H56" s="1"/>
    </row>
    <row r="57" spans="1:8" x14ac:dyDescent="0.2">
      <c r="A57" s="1" t="s">
        <v>197</v>
      </c>
      <c r="B57" s="1">
        <v>58</v>
      </c>
      <c r="C57" s="1" t="s">
        <v>262</v>
      </c>
      <c r="D57" s="1" t="s">
        <v>263</v>
      </c>
      <c r="E57" s="1" t="s">
        <v>264</v>
      </c>
      <c r="F57" s="1" t="s">
        <v>265</v>
      </c>
      <c r="G57" s="1"/>
      <c r="H57" s="1"/>
    </row>
    <row r="58" spans="1:8" x14ac:dyDescent="0.2">
      <c r="A58" s="1" t="s">
        <v>197</v>
      </c>
      <c r="B58" s="1">
        <v>59</v>
      </c>
      <c r="C58" s="1" t="s">
        <v>266</v>
      </c>
      <c r="D58" s="1" t="s">
        <v>267</v>
      </c>
      <c r="E58" s="1" t="s">
        <v>268</v>
      </c>
      <c r="F58" s="1" t="s">
        <v>269</v>
      </c>
      <c r="G58" s="1"/>
      <c r="H58" s="1"/>
    </row>
    <row r="59" spans="1:8" x14ac:dyDescent="0.2">
      <c r="A59" s="1" t="s">
        <v>197</v>
      </c>
      <c r="B59" s="1">
        <v>60</v>
      </c>
      <c r="C59" s="1" t="s">
        <v>270</v>
      </c>
      <c r="D59" s="1" t="s">
        <v>271</v>
      </c>
      <c r="E59" s="1" t="s">
        <v>268</v>
      </c>
      <c r="F59" s="1" t="s">
        <v>269</v>
      </c>
      <c r="G59" s="1"/>
      <c r="H59" s="1"/>
    </row>
    <row r="60" spans="1:8" x14ac:dyDescent="0.2">
      <c r="A60" s="1" t="s">
        <v>197</v>
      </c>
      <c r="B60" s="1">
        <v>61</v>
      </c>
      <c r="C60" s="1" t="s">
        <v>272</v>
      </c>
      <c r="D60" s="1" t="s">
        <v>273</v>
      </c>
      <c r="E60" s="1" t="s">
        <v>274</v>
      </c>
      <c r="F60" s="1" t="s">
        <v>275</v>
      </c>
      <c r="G60" s="1"/>
      <c r="H60" s="1"/>
    </row>
    <row r="61" spans="1:8" x14ac:dyDescent="0.2">
      <c r="A61" s="1" t="s">
        <v>197</v>
      </c>
      <c r="B61" s="1">
        <v>62</v>
      </c>
      <c r="C61" s="1" t="s">
        <v>276</v>
      </c>
      <c r="D61" s="1" t="s">
        <v>277</v>
      </c>
      <c r="E61" s="1" t="s">
        <v>278</v>
      </c>
      <c r="F61" s="1" t="s">
        <v>279</v>
      </c>
      <c r="G61" s="1"/>
      <c r="H61" s="1"/>
    </row>
    <row r="62" spans="1:8" x14ac:dyDescent="0.2">
      <c r="A62" s="1" t="s">
        <v>197</v>
      </c>
      <c r="B62" s="1">
        <v>63</v>
      </c>
      <c r="C62" s="1" t="s">
        <v>280</v>
      </c>
      <c r="D62" s="1" t="s">
        <v>281</v>
      </c>
      <c r="E62" s="1" t="s">
        <v>282</v>
      </c>
      <c r="F62" s="1" t="s">
        <v>283</v>
      </c>
      <c r="G62" s="1"/>
      <c r="H62" s="1"/>
    </row>
    <row r="63" spans="1:8" x14ac:dyDescent="0.2">
      <c r="A63" s="1" t="s">
        <v>197</v>
      </c>
      <c r="B63" s="1">
        <v>64</v>
      </c>
      <c r="C63" s="1" t="s">
        <v>284</v>
      </c>
      <c r="D63" s="1" t="s">
        <v>285</v>
      </c>
      <c r="E63" s="1" t="s">
        <v>286</v>
      </c>
      <c r="F63" s="1" t="s">
        <v>287</v>
      </c>
      <c r="G63" s="1"/>
      <c r="H63" s="1"/>
    </row>
    <row r="64" spans="1:8" x14ac:dyDescent="0.2">
      <c r="A64" s="1" t="s">
        <v>197</v>
      </c>
      <c r="B64" s="1">
        <v>65</v>
      </c>
      <c r="C64" s="1" t="s">
        <v>288</v>
      </c>
      <c r="D64" s="1" t="s">
        <v>289</v>
      </c>
      <c r="E64" s="1" t="s">
        <v>290</v>
      </c>
      <c r="F64" s="1" t="s">
        <v>291</v>
      </c>
      <c r="G64" s="1"/>
      <c r="H64" s="1"/>
    </row>
    <row r="65" spans="1:8" x14ac:dyDescent="0.2">
      <c r="A65" s="1" t="s">
        <v>197</v>
      </c>
      <c r="B65" s="1">
        <v>66</v>
      </c>
      <c r="C65" s="1" t="s">
        <v>292</v>
      </c>
      <c r="D65" s="1" t="s">
        <v>293</v>
      </c>
      <c r="E65" s="1" t="s">
        <v>294</v>
      </c>
      <c r="F65" s="1" t="s">
        <v>295</v>
      </c>
      <c r="G65" s="1"/>
      <c r="H65" s="1"/>
    </row>
    <row r="66" spans="1:8" x14ac:dyDescent="0.2">
      <c r="A66" s="1" t="s">
        <v>197</v>
      </c>
      <c r="B66" s="1">
        <v>67</v>
      </c>
      <c r="C66" s="1" t="s">
        <v>296</v>
      </c>
      <c r="D66" s="1" t="s">
        <v>297</v>
      </c>
      <c r="E66" s="1" t="s">
        <v>298</v>
      </c>
      <c r="F66" s="1" t="s">
        <v>299</v>
      </c>
      <c r="G66" s="1"/>
      <c r="H66" s="1"/>
    </row>
    <row r="67" spans="1:8" x14ac:dyDescent="0.2">
      <c r="A67" s="1" t="s">
        <v>197</v>
      </c>
      <c r="B67" s="1">
        <v>68</v>
      </c>
      <c r="C67" s="1" t="s">
        <v>300</v>
      </c>
      <c r="D67" s="1" t="s">
        <v>301</v>
      </c>
      <c r="E67" s="1" t="s">
        <v>302</v>
      </c>
      <c r="F67" s="1" t="s">
        <v>303</v>
      </c>
      <c r="G67" s="1"/>
      <c r="H67" s="1"/>
    </row>
    <row r="68" spans="1:8" x14ac:dyDescent="0.2">
      <c r="A68" s="1" t="s">
        <v>197</v>
      </c>
      <c r="B68" s="1">
        <v>69</v>
      </c>
      <c r="C68" s="1" t="s">
        <v>304</v>
      </c>
      <c r="D68" s="1" t="s">
        <v>305</v>
      </c>
      <c r="E68" s="1" t="s">
        <v>306</v>
      </c>
      <c r="F68" s="1" t="s">
        <v>307</v>
      </c>
      <c r="G68" s="1"/>
      <c r="H68" s="1"/>
    </row>
    <row r="69" spans="1:8" x14ac:dyDescent="0.2">
      <c r="A69" s="1" t="s">
        <v>197</v>
      </c>
      <c r="B69" s="1">
        <v>70</v>
      </c>
      <c r="C69" s="1" t="s">
        <v>308</v>
      </c>
      <c r="D69" s="1" t="s">
        <v>309</v>
      </c>
      <c r="E69" s="1" t="s">
        <v>306</v>
      </c>
      <c r="F69" s="1" t="s">
        <v>307</v>
      </c>
      <c r="G69" s="1"/>
      <c r="H69" s="1"/>
    </row>
    <row r="70" spans="1:8" x14ac:dyDescent="0.2">
      <c r="A70" s="1" t="s">
        <v>197</v>
      </c>
      <c r="B70" s="1">
        <v>71</v>
      </c>
      <c r="C70" s="1" t="s">
        <v>310</v>
      </c>
      <c r="D70" s="1" t="s">
        <v>311</v>
      </c>
      <c r="E70" s="1" t="s">
        <v>312</v>
      </c>
      <c r="F70" s="1" t="s">
        <v>313</v>
      </c>
      <c r="G70" s="1"/>
      <c r="H70" s="1"/>
    </row>
    <row r="71" spans="1:8" x14ac:dyDescent="0.2">
      <c r="A71" s="1" t="s">
        <v>197</v>
      </c>
      <c r="B71" s="1">
        <v>72</v>
      </c>
      <c r="C71" s="1" t="s">
        <v>314</v>
      </c>
      <c r="D71" s="1" t="s">
        <v>315</v>
      </c>
      <c r="E71" s="1" t="s">
        <v>316</v>
      </c>
      <c r="F71" s="1" t="s">
        <v>317</v>
      </c>
      <c r="G71" s="1"/>
      <c r="H71" s="1"/>
    </row>
    <row r="72" spans="1:8" x14ac:dyDescent="0.2">
      <c r="A72" s="1" t="s">
        <v>197</v>
      </c>
      <c r="B72" s="1">
        <v>73</v>
      </c>
      <c r="C72" s="1" t="s">
        <v>318</v>
      </c>
      <c r="D72" s="1" t="s">
        <v>319</v>
      </c>
      <c r="E72" s="1" t="s">
        <v>320</v>
      </c>
      <c r="F72" s="1" t="s">
        <v>321</v>
      </c>
      <c r="G72" s="1"/>
      <c r="H72" s="1"/>
    </row>
    <row r="73" spans="1:8" x14ac:dyDescent="0.2">
      <c r="A73" s="1" t="s">
        <v>197</v>
      </c>
      <c r="B73" s="1">
        <v>74</v>
      </c>
      <c r="C73" s="2" t="s">
        <v>322</v>
      </c>
      <c r="D73" s="1" t="s">
        <v>323</v>
      </c>
      <c r="E73" s="1" t="s">
        <v>320</v>
      </c>
      <c r="F73" s="1" t="s">
        <v>321</v>
      </c>
      <c r="G73" s="1"/>
      <c r="H73" s="1"/>
    </row>
    <row r="74" spans="1:8" x14ac:dyDescent="0.2">
      <c r="A74" s="1" t="s">
        <v>197</v>
      </c>
      <c r="B74" s="1">
        <v>75</v>
      </c>
      <c r="C74" s="1" t="s">
        <v>324</v>
      </c>
      <c r="D74" s="1" t="s">
        <v>325</v>
      </c>
      <c r="E74" s="1" t="s">
        <v>320</v>
      </c>
      <c r="F74" s="1" t="s">
        <v>321</v>
      </c>
      <c r="G74" s="1"/>
      <c r="H74" s="1"/>
    </row>
    <row r="75" spans="1:8" x14ac:dyDescent="0.2">
      <c r="A75" s="1" t="s">
        <v>197</v>
      </c>
      <c r="B75" s="1">
        <v>76</v>
      </c>
      <c r="C75" s="1" t="s">
        <v>326</v>
      </c>
      <c r="D75" s="1" t="s">
        <v>327</v>
      </c>
      <c r="E75" s="1" t="s">
        <v>320</v>
      </c>
      <c r="F75" s="1" t="s">
        <v>321</v>
      </c>
      <c r="G75" s="1"/>
      <c r="H75" s="1"/>
    </row>
    <row r="76" spans="1:8" x14ac:dyDescent="0.2">
      <c r="A76" s="1" t="s">
        <v>197</v>
      </c>
      <c r="B76" s="1">
        <v>77</v>
      </c>
      <c r="C76" s="1" t="s">
        <v>328</v>
      </c>
      <c r="D76" s="1" t="s">
        <v>329</v>
      </c>
      <c r="E76" s="1" t="s">
        <v>320</v>
      </c>
      <c r="F76" s="1" t="s">
        <v>321</v>
      </c>
      <c r="G76" s="1"/>
      <c r="H76" s="1"/>
    </row>
    <row r="77" spans="1:8" x14ac:dyDescent="0.2">
      <c r="A77" s="1" t="s">
        <v>197</v>
      </c>
      <c r="B77" s="1">
        <v>78</v>
      </c>
      <c r="C77" s="1" t="s">
        <v>330</v>
      </c>
      <c r="D77" s="1" t="s">
        <v>331</v>
      </c>
      <c r="E77" s="1" t="s">
        <v>332</v>
      </c>
      <c r="F77" s="1" t="s">
        <v>333</v>
      </c>
      <c r="G77" s="1"/>
      <c r="H77" s="1"/>
    </row>
    <row r="78" spans="1:8" x14ac:dyDescent="0.2">
      <c r="A78" s="1" t="s">
        <v>197</v>
      </c>
      <c r="B78" s="1">
        <v>79</v>
      </c>
      <c r="C78" s="1" t="s">
        <v>334</v>
      </c>
      <c r="D78" s="1" t="s">
        <v>335</v>
      </c>
      <c r="E78" s="1" t="s">
        <v>332</v>
      </c>
      <c r="F78" s="1" t="s">
        <v>333</v>
      </c>
      <c r="G78" s="1"/>
      <c r="H78" s="1"/>
    </row>
    <row r="79" spans="1:8" x14ac:dyDescent="0.2">
      <c r="A79" s="1" t="s">
        <v>197</v>
      </c>
      <c r="B79" s="1">
        <v>80</v>
      </c>
      <c r="C79" s="1" t="s">
        <v>336</v>
      </c>
      <c r="D79" s="1" t="s">
        <v>337</v>
      </c>
      <c r="E79" s="1" t="s">
        <v>332</v>
      </c>
      <c r="F79" s="1" t="s">
        <v>333</v>
      </c>
      <c r="G79" s="1"/>
      <c r="H79" s="1"/>
    </row>
    <row r="80" spans="1:8" x14ac:dyDescent="0.2">
      <c r="A80" s="1" t="s">
        <v>197</v>
      </c>
      <c r="B80" s="1">
        <v>81</v>
      </c>
      <c r="C80" s="1" t="s">
        <v>338</v>
      </c>
      <c r="D80" s="1" t="s">
        <v>339</v>
      </c>
      <c r="E80" s="1" t="s">
        <v>340</v>
      </c>
      <c r="F80" s="1" t="s">
        <v>341</v>
      </c>
      <c r="G80" s="1"/>
      <c r="H80" s="1"/>
    </row>
    <row r="81" spans="1:8" x14ac:dyDescent="0.2">
      <c r="A81" s="1" t="s">
        <v>197</v>
      </c>
      <c r="B81" s="1">
        <v>82</v>
      </c>
      <c r="C81" s="1" t="s">
        <v>342</v>
      </c>
      <c r="D81" s="1" t="s">
        <v>343</v>
      </c>
      <c r="E81" s="1" t="s">
        <v>340</v>
      </c>
      <c r="F81" s="1" t="s">
        <v>341</v>
      </c>
      <c r="G81" s="1"/>
      <c r="H81" s="1"/>
    </row>
    <row r="82" spans="1:8" x14ac:dyDescent="0.2">
      <c r="A82" s="1" t="s">
        <v>197</v>
      </c>
      <c r="B82" s="1">
        <v>83</v>
      </c>
      <c r="C82" s="1" t="s">
        <v>344</v>
      </c>
      <c r="D82" s="1" t="s">
        <v>345</v>
      </c>
      <c r="E82" s="1" t="s">
        <v>346</v>
      </c>
      <c r="F82" s="1" t="s">
        <v>347</v>
      </c>
      <c r="G82" s="1"/>
      <c r="H82" s="1"/>
    </row>
    <row r="83" spans="1:8" x14ac:dyDescent="0.2">
      <c r="A83" s="1" t="s">
        <v>197</v>
      </c>
      <c r="B83" s="1">
        <v>84</v>
      </c>
      <c r="C83" s="1" t="s">
        <v>348</v>
      </c>
      <c r="D83" s="1" t="s">
        <v>349</v>
      </c>
      <c r="E83" s="1" t="s">
        <v>350</v>
      </c>
      <c r="F83" s="1" t="s">
        <v>351</v>
      </c>
      <c r="G83" s="1"/>
      <c r="H83" s="1"/>
    </row>
    <row r="84" spans="1:8" x14ac:dyDescent="0.2">
      <c r="A84" s="1" t="s">
        <v>197</v>
      </c>
      <c r="B84" s="1">
        <v>85</v>
      </c>
      <c r="C84" s="1" t="s">
        <v>352</v>
      </c>
      <c r="D84" s="1" t="s">
        <v>353</v>
      </c>
      <c r="E84" s="1" t="s">
        <v>354</v>
      </c>
      <c r="F84" s="1" t="s">
        <v>355</v>
      </c>
      <c r="G84" s="1"/>
      <c r="H84" s="1"/>
    </row>
    <row r="85" spans="1:8" x14ac:dyDescent="0.2">
      <c r="A85" s="1" t="s">
        <v>197</v>
      </c>
      <c r="B85" s="1">
        <v>86</v>
      </c>
      <c r="C85" s="1" t="s">
        <v>356</v>
      </c>
      <c r="D85" s="1" t="s">
        <v>357</v>
      </c>
      <c r="E85" s="1" t="s">
        <v>358</v>
      </c>
      <c r="F85" s="1" t="s">
        <v>359</v>
      </c>
      <c r="G85" s="1"/>
      <c r="H85" s="1"/>
    </row>
    <row r="86" spans="1:8" x14ac:dyDescent="0.2">
      <c r="A86" s="1" t="s">
        <v>197</v>
      </c>
      <c r="B86" s="1">
        <v>87</v>
      </c>
      <c r="C86" s="1" t="s">
        <v>360</v>
      </c>
      <c r="D86" s="1" t="s">
        <v>361</v>
      </c>
      <c r="E86" s="1" t="s">
        <v>362</v>
      </c>
      <c r="F86" s="1" t="s">
        <v>363</v>
      </c>
      <c r="G86" s="1"/>
      <c r="H86" s="1"/>
    </row>
    <row r="87" spans="1:8" x14ac:dyDescent="0.2">
      <c r="A87" s="1" t="s">
        <v>197</v>
      </c>
      <c r="B87" s="1">
        <v>88</v>
      </c>
      <c r="C87" s="1" t="s">
        <v>364</v>
      </c>
      <c r="D87" s="1" t="s">
        <v>365</v>
      </c>
      <c r="E87" s="1" t="s">
        <v>366</v>
      </c>
      <c r="F87" s="1" t="s">
        <v>367</v>
      </c>
      <c r="G87" s="1"/>
      <c r="H87" s="1"/>
    </row>
    <row r="88" spans="1:8" x14ac:dyDescent="0.2">
      <c r="A88" s="1" t="s">
        <v>197</v>
      </c>
      <c r="B88" s="1">
        <v>89</v>
      </c>
      <c r="C88" s="1" t="s">
        <v>368</v>
      </c>
      <c r="D88" s="1" t="s">
        <v>369</v>
      </c>
      <c r="E88" s="1" t="s">
        <v>370</v>
      </c>
      <c r="F88" s="1" t="s">
        <v>371</v>
      </c>
      <c r="G88" s="1"/>
      <c r="H88" s="1"/>
    </row>
    <row r="89" spans="1:8" x14ac:dyDescent="0.2">
      <c r="A89" s="1" t="s">
        <v>197</v>
      </c>
      <c r="B89" s="1">
        <v>90</v>
      </c>
      <c r="C89" s="1" t="s">
        <v>372</v>
      </c>
      <c r="D89" s="1" t="s">
        <v>373</v>
      </c>
      <c r="E89" s="1" t="s">
        <v>370</v>
      </c>
      <c r="F89" s="1" t="s">
        <v>371</v>
      </c>
      <c r="G89" s="1"/>
      <c r="H89" s="1"/>
    </row>
    <row r="90" spans="1:8" x14ac:dyDescent="0.2">
      <c r="A90" s="1" t="s">
        <v>197</v>
      </c>
      <c r="B90" s="1">
        <v>91</v>
      </c>
      <c r="C90" s="1" t="s">
        <v>374</v>
      </c>
      <c r="D90" s="1" t="s">
        <v>375</v>
      </c>
      <c r="E90" s="1" t="s">
        <v>376</v>
      </c>
      <c r="F90" s="1" t="s">
        <v>377</v>
      </c>
      <c r="G90" s="1"/>
      <c r="H90" s="1"/>
    </row>
    <row r="91" spans="1:8" x14ac:dyDescent="0.2">
      <c r="A91" s="1" t="s">
        <v>197</v>
      </c>
      <c r="B91" s="1">
        <v>92</v>
      </c>
      <c r="C91" s="1" t="s">
        <v>378</v>
      </c>
      <c r="D91" s="1" t="s">
        <v>379</v>
      </c>
      <c r="E91" s="1" t="s">
        <v>380</v>
      </c>
      <c r="F91" s="1" t="s">
        <v>381</v>
      </c>
      <c r="G91" s="1"/>
      <c r="H91" s="1"/>
    </row>
    <row r="92" spans="1:8" x14ac:dyDescent="0.2">
      <c r="A92" s="1" t="s">
        <v>197</v>
      </c>
      <c r="B92" s="1">
        <v>93</v>
      </c>
      <c r="C92" s="1" t="s">
        <v>382</v>
      </c>
      <c r="D92" s="1" t="s">
        <v>383</v>
      </c>
      <c r="E92" s="1" t="s">
        <v>384</v>
      </c>
      <c r="F92" s="1" t="s">
        <v>385</v>
      </c>
      <c r="G92" s="1"/>
      <c r="H92" s="1"/>
    </row>
    <row r="93" spans="1:8" x14ac:dyDescent="0.2">
      <c r="A93" s="1" t="s">
        <v>197</v>
      </c>
      <c r="B93" s="1">
        <v>94</v>
      </c>
      <c r="C93" s="1" t="s">
        <v>386</v>
      </c>
      <c r="D93" s="1" t="s">
        <v>387</v>
      </c>
      <c r="E93" s="1" t="s">
        <v>388</v>
      </c>
      <c r="F93" s="1" t="s">
        <v>389</v>
      </c>
      <c r="G93" s="1"/>
      <c r="H93" s="1"/>
    </row>
    <row r="94" spans="1:8" x14ac:dyDescent="0.2">
      <c r="A94" s="1" t="s">
        <v>197</v>
      </c>
      <c r="B94" s="1">
        <v>95</v>
      </c>
      <c r="C94" s="1" t="s">
        <v>390</v>
      </c>
      <c r="D94" s="1" t="s">
        <v>391</v>
      </c>
      <c r="E94" s="1" t="s">
        <v>392</v>
      </c>
      <c r="F94" s="1" t="s">
        <v>393</v>
      </c>
      <c r="G94" s="1"/>
      <c r="H94" s="1"/>
    </row>
    <row r="95" spans="1:8" x14ac:dyDescent="0.2">
      <c r="A95" s="1" t="s">
        <v>197</v>
      </c>
      <c r="B95" s="1">
        <v>96</v>
      </c>
      <c r="C95" s="1" t="s">
        <v>394</v>
      </c>
      <c r="D95" s="1" t="s">
        <v>395</v>
      </c>
      <c r="E95" s="1" t="s">
        <v>396</v>
      </c>
      <c r="F95" s="1" t="s">
        <v>397</v>
      </c>
      <c r="G95" s="1"/>
      <c r="H95" s="1"/>
    </row>
    <row r="96" spans="1:8" x14ac:dyDescent="0.2">
      <c r="A96" s="1" t="s">
        <v>197</v>
      </c>
      <c r="B96" s="1">
        <v>97</v>
      </c>
      <c r="C96" s="1" t="s">
        <v>398</v>
      </c>
      <c r="D96" s="1" t="s">
        <v>399</v>
      </c>
      <c r="E96" s="1" t="s">
        <v>396</v>
      </c>
      <c r="F96" s="1" t="s">
        <v>397</v>
      </c>
      <c r="G96" s="1"/>
      <c r="H96" s="1"/>
    </row>
    <row r="97" spans="1:8" x14ac:dyDescent="0.2">
      <c r="A97" s="1" t="s">
        <v>197</v>
      </c>
      <c r="B97" s="1">
        <v>98</v>
      </c>
      <c r="C97" s="1" t="s">
        <v>400</v>
      </c>
      <c r="D97" s="1" t="s">
        <v>401</v>
      </c>
      <c r="E97" s="1" t="s">
        <v>402</v>
      </c>
      <c r="F97" s="1" t="s">
        <v>403</v>
      </c>
      <c r="G97" s="1"/>
      <c r="H97" s="1"/>
    </row>
    <row r="98" spans="1:8" x14ac:dyDescent="0.2">
      <c r="A98" s="1" t="s">
        <v>197</v>
      </c>
      <c r="B98" s="1">
        <v>99</v>
      </c>
      <c r="C98" s="1" t="s">
        <v>404</v>
      </c>
      <c r="D98" s="1" t="s">
        <v>405</v>
      </c>
      <c r="E98" s="1" t="s">
        <v>406</v>
      </c>
      <c r="F98" s="1" t="s">
        <v>407</v>
      </c>
      <c r="G98" s="1"/>
      <c r="H98" s="1"/>
    </row>
    <row r="99" spans="1:8" x14ac:dyDescent="0.2">
      <c r="A99" s="1" t="s">
        <v>197</v>
      </c>
      <c r="B99" s="1">
        <v>100</v>
      </c>
      <c r="C99" s="1" t="s">
        <v>408</v>
      </c>
      <c r="D99" s="1" t="s">
        <v>409</v>
      </c>
      <c r="E99" s="1" t="s">
        <v>410</v>
      </c>
      <c r="F99" s="1" t="s">
        <v>411</v>
      </c>
      <c r="G99" s="1"/>
      <c r="H99" s="1"/>
    </row>
    <row r="100" spans="1:8" x14ac:dyDescent="0.2">
      <c r="A100" s="1" t="s">
        <v>197</v>
      </c>
      <c r="B100" s="1">
        <v>101</v>
      </c>
      <c r="C100" s="1" t="s">
        <v>412</v>
      </c>
      <c r="D100" s="1" t="s">
        <v>413</v>
      </c>
      <c r="E100" s="1" t="s">
        <v>410</v>
      </c>
      <c r="F100" s="1" t="s">
        <v>411</v>
      </c>
      <c r="G100" s="1"/>
      <c r="H100" s="1"/>
    </row>
    <row r="101" spans="1:8" x14ac:dyDescent="0.2">
      <c r="A101" s="1" t="s">
        <v>197</v>
      </c>
      <c r="B101" s="1">
        <v>102</v>
      </c>
      <c r="C101" s="1" t="s">
        <v>414</v>
      </c>
      <c r="D101" s="1" t="s">
        <v>415</v>
      </c>
      <c r="E101" s="1" t="s">
        <v>410</v>
      </c>
      <c r="F101" s="1" t="s">
        <v>411</v>
      </c>
      <c r="G101" s="1"/>
      <c r="H101" s="1"/>
    </row>
    <row r="102" spans="1:8" x14ac:dyDescent="0.2">
      <c r="A102" s="1" t="s">
        <v>197</v>
      </c>
      <c r="B102" s="1">
        <v>103</v>
      </c>
      <c r="C102" s="1" t="s">
        <v>416</v>
      </c>
      <c r="D102" s="1" t="s">
        <v>417</v>
      </c>
      <c r="E102" s="1" t="s">
        <v>418</v>
      </c>
      <c r="F102" s="1" t="s">
        <v>419</v>
      </c>
      <c r="G102" s="1"/>
      <c r="H102" s="1"/>
    </row>
    <row r="103" spans="1:8" x14ac:dyDescent="0.2">
      <c r="A103" s="1" t="s">
        <v>197</v>
      </c>
      <c r="B103" s="1">
        <v>104</v>
      </c>
      <c r="C103" s="1" t="s">
        <v>420</v>
      </c>
      <c r="D103" s="1" t="s">
        <v>421</v>
      </c>
      <c r="E103" s="1" t="s">
        <v>422</v>
      </c>
      <c r="F103" s="1" t="s">
        <v>423</v>
      </c>
      <c r="G103" s="1"/>
      <c r="H103" s="1"/>
    </row>
    <row r="104" spans="1:8" x14ac:dyDescent="0.2">
      <c r="A104" s="1" t="s">
        <v>197</v>
      </c>
      <c r="B104" s="1">
        <v>105</v>
      </c>
      <c r="C104" s="1" t="s">
        <v>424</v>
      </c>
      <c r="D104" s="1" t="s">
        <v>425</v>
      </c>
      <c r="E104" s="1" t="s">
        <v>422</v>
      </c>
      <c r="F104" s="1" t="s">
        <v>423</v>
      </c>
      <c r="G104" s="1"/>
      <c r="H104" s="1"/>
    </row>
    <row r="105" spans="1:8" x14ac:dyDescent="0.2">
      <c r="A105" s="1" t="s">
        <v>197</v>
      </c>
      <c r="B105" s="1">
        <v>106</v>
      </c>
      <c r="C105" s="1" t="s">
        <v>426</v>
      </c>
      <c r="D105" s="1" t="s">
        <v>427</v>
      </c>
      <c r="E105" s="1" t="s">
        <v>428</v>
      </c>
      <c r="F105" s="1" t="s">
        <v>429</v>
      </c>
      <c r="G105" s="1"/>
      <c r="H105" s="1"/>
    </row>
    <row r="106" spans="1:8" x14ac:dyDescent="0.2">
      <c r="A106" s="1" t="s">
        <v>197</v>
      </c>
      <c r="B106" s="1">
        <v>107</v>
      </c>
      <c r="C106" s="1" t="s">
        <v>430</v>
      </c>
      <c r="D106" s="1" t="s">
        <v>431</v>
      </c>
      <c r="E106" s="1" t="s">
        <v>428</v>
      </c>
      <c r="F106" s="1" t="s">
        <v>429</v>
      </c>
      <c r="G106" s="1"/>
      <c r="H106" s="1"/>
    </row>
    <row r="107" spans="1:8" x14ac:dyDescent="0.2">
      <c r="A107" s="1" t="s">
        <v>197</v>
      </c>
      <c r="B107" s="1">
        <v>108</v>
      </c>
      <c r="C107" s="1" t="s">
        <v>432</v>
      </c>
      <c r="D107" s="1" t="s">
        <v>433</v>
      </c>
      <c r="E107" s="1" t="s">
        <v>428</v>
      </c>
      <c r="F107" s="1" t="s">
        <v>429</v>
      </c>
      <c r="G107" s="1"/>
      <c r="H107" s="1"/>
    </row>
    <row r="108" spans="1:8" x14ac:dyDescent="0.2">
      <c r="A108" s="1" t="s">
        <v>197</v>
      </c>
      <c r="B108" s="1">
        <v>109</v>
      </c>
      <c r="C108" s="1" t="s">
        <v>434</v>
      </c>
      <c r="D108" s="1" t="s">
        <v>435</v>
      </c>
      <c r="E108" s="1" t="s">
        <v>428</v>
      </c>
      <c r="F108" s="1" t="s">
        <v>429</v>
      </c>
      <c r="G108" s="1"/>
      <c r="H108" s="1"/>
    </row>
    <row r="109" spans="1:8" x14ac:dyDescent="0.2">
      <c r="A109" s="1" t="s">
        <v>197</v>
      </c>
      <c r="B109" s="1">
        <v>110</v>
      </c>
      <c r="C109" s="1" t="s">
        <v>436</v>
      </c>
      <c r="D109" s="1" t="s">
        <v>437</v>
      </c>
      <c r="E109" s="1" t="s">
        <v>438</v>
      </c>
      <c r="F109" s="1" t="s">
        <v>439</v>
      </c>
      <c r="G109" s="1"/>
      <c r="H109" s="1"/>
    </row>
    <row r="110" spans="1:8" x14ac:dyDescent="0.2">
      <c r="A110" s="1" t="s">
        <v>197</v>
      </c>
      <c r="B110" s="1">
        <v>111</v>
      </c>
      <c r="C110" s="1" t="s">
        <v>440</v>
      </c>
      <c r="D110" s="1" t="s">
        <v>441</v>
      </c>
      <c r="E110" s="1" t="s">
        <v>442</v>
      </c>
      <c r="F110" s="1" t="s">
        <v>443</v>
      </c>
      <c r="G110" s="1"/>
      <c r="H110" s="1"/>
    </row>
    <row r="111" spans="1:8" x14ac:dyDescent="0.2">
      <c r="A111" s="1" t="s">
        <v>197</v>
      </c>
      <c r="B111" s="1">
        <v>112</v>
      </c>
      <c r="C111" s="1" t="s">
        <v>444</v>
      </c>
      <c r="D111" s="1" t="s">
        <v>445</v>
      </c>
      <c r="E111" s="1" t="s">
        <v>442</v>
      </c>
      <c r="F111" s="1" t="s">
        <v>443</v>
      </c>
      <c r="G111" s="1"/>
      <c r="H111" s="1"/>
    </row>
    <row r="112" spans="1:8" x14ac:dyDescent="0.2">
      <c r="A112" s="1" t="s">
        <v>197</v>
      </c>
      <c r="B112" s="1">
        <v>113</v>
      </c>
      <c r="C112" s="1" t="s">
        <v>446</v>
      </c>
      <c r="D112" s="1" t="s">
        <v>447</v>
      </c>
      <c r="E112" s="1" t="s">
        <v>442</v>
      </c>
      <c r="F112" s="1" t="s">
        <v>443</v>
      </c>
      <c r="G112" s="1"/>
      <c r="H112" s="1"/>
    </row>
    <row r="113" spans="1:8" x14ac:dyDescent="0.2">
      <c r="A113" s="1" t="s">
        <v>197</v>
      </c>
      <c r="B113" s="1">
        <v>114</v>
      </c>
      <c r="C113" s="1" t="s">
        <v>448</v>
      </c>
      <c r="D113" s="1" t="s">
        <v>449</v>
      </c>
      <c r="E113" s="1" t="s">
        <v>442</v>
      </c>
      <c r="F113" s="1" t="s">
        <v>443</v>
      </c>
      <c r="G113" s="1"/>
      <c r="H113" s="1"/>
    </row>
    <row r="114" spans="1:8" x14ac:dyDescent="0.2">
      <c r="A114" s="1" t="s">
        <v>197</v>
      </c>
      <c r="B114" s="1">
        <v>115</v>
      </c>
      <c r="C114" s="1" t="s">
        <v>450</v>
      </c>
      <c r="D114" s="1" t="s">
        <v>451</v>
      </c>
      <c r="E114" s="1" t="s">
        <v>452</v>
      </c>
      <c r="F114" s="1" t="s">
        <v>453</v>
      </c>
      <c r="G114" s="1"/>
      <c r="H114" s="1"/>
    </row>
    <row r="115" spans="1:8" x14ac:dyDescent="0.2">
      <c r="A115" s="1" t="s">
        <v>197</v>
      </c>
      <c r="B115" s="1">
        <v>116</v>
      </c>
      <c r="C115" s="1" t="s">
        <v>454</v>
      </c>
      <c r="D115" s="1" t="s">
        <v>455</v>
      </c>
      <c r="E115" s="1" t="s">
        <v>456</v>
      </c>
      <c r="F115" s="1" t="s">
        <v>457</v>
      </c>
      <c r="G115" s="1"/>
      <c r="H115" s="1"/>
    </row>
    <row r="116" spans="1:8" x14ac:dyDescent="0.2">
      <c r="A116" s="1" t="s">
        <v>197</v>
      </c>
      <c r="B116" s="1">
        <v>117</v>
      </c>
      <c r="C116" s="1" t="s">
        <v>458</v>
      </c>
      <c r="D116" s="1" t="s">
        <v>459</v>
      </c>
      <c r="E116" s="1" t="s">
        <v>460</v>
      </c>
      <c r="F116" s="1" t="s">
        <v>461</v>
      </c>
      <c r="G116" s="1"/>
      <c r="H116" s="1"/>
    </row>
    <row r="117" spans="1:8" x14ac:dyDescent="0.2">
      <c r="A117" s="1" t="s">
        <v>197</v>
      </c>
      <c r="B117" s="1">
        <v>118</v>
      </c>
      <c r="C117" s="1" t="s">
        <v>462</v>
      </c>
      <c r="D117" s="1" t="s">
        <v>463</v>
      </c>
      <c r="E117" s="1" t="s">
        <v>460</v>
      </c>
      <c r="F117" s="1" t="s">
        <v>461</v>
      </c>
      <c r="G117" s="1"/>
      <c r="H117" s="1"/>
    </row>
    <row r="118" spans="1:8" x14ac:dyDescent="0.2">
      <c r="A118" s="1" t="s">
        <v>197</v>
      </c>
      <c r="B118" s="1">
        <v>119</v>
      </c>
      <c r="C118" s="1" t="s">
        <v>464</v>
      </c>
      <c r="D118" s="1" t="s">
        <v>465</v>
      </c>
      <c r="E118" s="1" t="s">
        <v>466</v>
      </c>
      <c r="F118" s="1" t="s">
        <v>467</v>
      </c>
      <c r="G118" s="1"/>
      <c r="H118" s="1"/>
    </row>
    <row r="119" spans="1:8" x14ac:dyDescent="0.2">
      <c r="A119" s="1" t="s">
        <v>197</v>
      </c>
      <c r="B119" s="1">
        <v>120</v>
      </c>
      <c r="C119" s="1" t="s">
        <v>468</v>
      </c>
      <c r="D119" s="1" t="s">
        <v>469</v>
      </c>
      <c r="E119" s="1" t="s">
        <v>470</v>
      </c>
      <c r="F119" s="1" t="s">
        <v>471</v>
      </c>
      <c r="G119" s="1"/>
      <c r="H119" s="1"/>
    </row>
    <row r="120" spans="1:8" x14ac:dyDescent="0.2">
      <c r="A120" s="1" t="s">
        <v>197</v>
      </c>
      <c r="B120" s="1">
        <v>121</v>
      </c>
      <c r="C120" s="1" t="s">
        <v>472</v>
      </c>
      <c r="D120" s="1" t="s">
        <v>473</v>
      </c>
      <c r="E120" s="1" t="s">
        <v>116</v>
      </c>
      <c r="F120" s="1" t="s">
        <v>474</v>
      </c>
      <c r="G120" s="1"/>
      <c r="H120" s="1"/>
    </row>
    <row r="121" spans="1:8" x14ac:dyDescent="0.2">
      <c r="A121" s="1" t="s">
        <v>197</v>
      </c>
      <c r="B121" s="1">
        <v>122</v>
      </c>
      <c r="C121" s="1" t="s">
        <v>475</v>
      </c>
      <c r="D121" s="1" t="s">
        <v>476</v>
      </c>
      <c r="E121" s="1" t="s">
        <v>116</v>
      </c>
      <c r="F121" s="1" t="s">
        <v>474</v>
      </c>
      <c r="G121" s="1"/>
      <c r="H121" s="1"/>
    </row>
    <row r="122" spans="1:8" x14ac:dyDescent="0.2">
      <c r="A122" s="1" t="s">
        <v>197</v>
      </c>
      <c r="B122" s="1">
        <v>123</v>
      </c>
      <c r="C122" s="1" t="s">
        <v>477</v>
      </c>
      <c r="D122" s="1" t="s">
        <v>478</v>
      </c>
      <c r="E122" s="1" t="s">
        <v>116</v>
      </c>
      <c r="F122" s="1" t="s">
        <v>474</v>
      </c>
      <c r="G122" s="1"/>
      <c r="H122" s="1"/>
    </row>
    <row r="123" spans="1:8" x14ac:dyDescent="0.2">
      <c r="A123" s="1" t="s">
        <v>197</v>
      </c>
      <c r="B123" s="1">
        <v>124</v>
      </c>
      <c r="C123" s="1" t="s">
        <v>479</v>
      </c>
      <c r="D123" s="1" t="s">
        <v>480</v>
      </c>
      <c r="E123" s="1" t="s">
        <v>481</v>
      </c>
      <c r="F123" s="1" t="s">
        <v>482</v>
      </c>
      <c r="G123" s="1"/>
      <c r="H123" s="1"/>
    </row>
    <row r="124" spans="1:8" x14ac:dyDescent="0.2">
      <c r="A124" s="1" t="s">
        <v>197</v>
      </c>
      <c r="B124" s="1">
        <v>125</v>
      </c>
      <c r="C124" s="1" t="s">
        <v>483</v>
      </c>
      <c r="D124" s="1" t="s">
        <v>484</v>
      </c>
      <c r="E124" s="1" t="s">
        <v>481</v>
      </c>
      <c r="F124" s="1" t="s">
        <v>482</v>
      </c>
      <c r="G124" s="1"/>
      <c r="H124" s="1"/>
    </row>
    <row r="125" spans="1:8" x14ac:dyDescent="0.2">
      <c r="A125" s="1" t="s">
        <v>197</v>
      </c>
      <c r="B125" s="1">
        <v>126</v>
      </c>
      <c r="C125" s="1" t="s">
        <v>485</v>
      </c>
      <c r="D125" s="1" t="s">
        <v>486</v>
      </c>
      <c r="E125" s="1" t="s">
        <v>487</v>
      </c>
      <c r="F125" s="1" t="s">
        <v>488</v>
      </c>
      <c r="G125" s="1"/>
      <c r="H125" s="1"/>
    </row>
    <row r="126" spans="1:8" x14ac:dyDescent="0.2">
      <c r="A126" s="1" t="s">
        <v>197</v>
      </c>
      <c r="B126" s="1">
        <v>127</v>
      </c>
      <c r="C126" s="1" t="s">
        <v>489</v>
      </c>
      <c r="D126" s="1" t="s">
        <v>490</v>
      </c>
      <c r="E126" s="1" t="s">
        <v>487</v>
      </c>
      <c r="F126" s="1" t="s">
        <v>488</v>
      </c>
      <c r="G126" s="1"/>
      <c r="H126" s="1"/>
    </row>
    <row r="127" spans="1:8" x14ac:dyDescent="0.2">
      <c r="A127" s="1" t="s">
        <v>197</v>
      </c>
      <c r="B127" s="1">
        <v>128</v>
      </c>
      <c r="C127" s="1" t="s">
        <v>491</v>
      </c>
      <c r="D127" s="1" t="s">
        <v>492</v>
      </c>
      <c r="E127" s="1" t="s">
        <v>493</v>
      </c>
      <c r="F127" s="1" t="s">
        <v>494</v>
      </c>
      <c r="G127" s="1"/>
      <c r="H127" s="1"/>
    </row>
    <row r="128" spans="1:8" x14ac:dyDescent="0.2">
      <c r="A128" s="1" t="s">
        <v>197</v>
      </c>
      <c r="B128" s="1">
        <v>129</v>
      </c>
      <c r="C128" s="1" t="s">
        <v>495</v>
      </c>
      <c r="D128" s="1" t="s">
        <v>496</v>
      </c>
      <c r="E128" s="1" t="s">
        <v>493</v>
      </c>
      <c r="F128" s="1" t="s">
        <v>494</v>
      </c>
      <c r="G128" s="1"/>
      <c r="H128" s="1"/>
    </row>
    <row r="129" spans="1:8" x14ac:dyDescent="0.2">
      <c r="A129" s="1" t="s">
        <v>197</v>
      </c>
      <c r="B129" s="1">
        <v>130</v>
      </c>
      <c r="C129" s="1" t="s">
        <v>497</v>
      </c>
      <c r="D129" s="1" t="s">
        <v>498</v>
      </c>
      <c r="E129" s="1" t="s">
        <v>499</v>
      </c>
      <c r="F129" s="1" t="s">
        <v>500</v>
      </c>
      <c r="G129" s="1"/>
      <c r="H129" s="1"/>
    </row>
    <row r="130" spans="1:8" x14ac:dyDescent="0.2">
      <c r="A130" s="1" t="s">
        <v>197</v>
      </c>
      <c r="B130" s="1">
        <v>131</v>
      </c>
      <c r="C130" s="1" t="s">
        <v>501</v>
      </c>
      <c r="D130" s="1" t="s">
        <v>502</v>
      </c>
      <c r="E130" s="1" t="s">
        <v>499</v>
      </c>
      <c r="F130" s="1" t="s">
        <v>500</v>
      </c>
      <c r="G130" s="1"/>
      <c r="H130" s="1"/>
    </row>
    <row r="131" spans="1:8" x14ac:dyDescent="0.2">
      <c r="A131" s="1" t="s">
        <v>197</v>
      </c>
      <c r="B131" s="1">
        <v>132</v>
      </c>
      <c r="C131" s="1" t="s">
        <v>503</v>
      </c>
      <c r="D131" s="1" t="s">
        <v>504</v>
      </c>
      <c r="E131" s="1" t="s">
        <v>499</v>
      </c>
      <c r="F131" s="1" t="s">
        <v>500</v>
      </c>
      <c r="G131" s="1"/>
      <c r="H131" s="1"/>
    </row>
    <row r="132" spans="1:8" x14ac:dyDescent="0.2">
      <c r="A132" s="1" t="s">
        <v>197</v>
      </c>
      <c r="B132" s="1">
        <v>133</v>
      </c>
      <c r="C132" s="1" t="s">
        <v>505</v>
      </c>
      <c r="D132" s="1" t="s">
        <v>506</v>
      </c>
      <c r="E132" s="1" t="s">
        <v>507</v>
      </c>
      <c r="F132" s="1" t="s">
        <v>508</v>
      </c>
      <c r="G132" s="1"/>
      <c r="H132" s="1"/>
    </row>
    <row r="133" spans="1:8" x14ac:dyDescent="0.2">
      <c r="A133" s="1" t="s">
        <v>197</v>
      </c>
      <c r="B133" s="1">
        <v>134</v>
      </c>
      <c r="C133" s="1" t="s">
        <v>509</v>
      </c>
      <c r="D133" s="1" t="s">
        <v>510</v>
      </c>
      <c r="E133" s="1" t="s">
        <v>511</v>
      </c>
      <c r="F133" s="1" t="s">
        <v>512</v>
      </c>
      <c r="G133" s="1"/>
      <c r="H133" s="1"/>
    </row>
    <row r="134" spans="1:8" x14ac:dyDescent="0.2">
      <c r="A134" s="1" t="s">
        <v>197</v>
      </c>
      <c r="B134" s="1">
        <v>135</v>
      </c>
      <c r="C134" s="1" t="s">
        <v>513</v>
      </c>
      <c r="D134" s="1" t="s">
        <v>514</v>
      </c>
      <c r="E134" s="1" t="s">
        <v>511</v>
      </c>
      <c r="F134" s="1" t="s">
        <v>512</v>
      </c>
      <c r="G134" s="1"/>
      <c r="H134" s="1"/>
    </row>
    <row r="135" spans="1:8" x14ac:dyDescent="0.2">
      <c r="A135" s="1" t="s">
        <v>197</v>
      </c>
      <c r="B135" s="1">
        <v>136</v>
      </c>
      <c r="C135" s="1" t="s">
        <v>515</v>
      </c>
      <c r="D135" s="1" t="s">
        <v>516</v>
      </c>
      <c r="E135" s="1" t="s">
        <v>517</v>
      </c>
      <c r="F135" s="1" t="s">
        <v>518</v>
      </c>
      <c r="G135" s="1"/>
      <c r="H135" s="1"/>
    </row>
    <row r="136" spans="1:8" x14ac:dyDescent="0.2">
      <c r="A136" s="1" t="s">
        <v>197</v>
      </c>
      <c r="B136" s="1">
        <v>137</v>
      </c>
      <c r="C136" s="1" t="s">
        <v>519</v>
      </c>
      <c r="D136" s="1" t="s">
        <v>520</v>
      </c>
      <c r="E136" s="1" t="s">
        <v>521</v>
      </c>
      <c r="F136" s="1" t="s">
        <v>522</v>
      </c>
      <c r="G136" s="1"/>
      <c r="H136" s="1"/>
    </row>
    <row r="137" spans="1:8" x14ac:dyDescent="0.2">
      <c r="A137" s="1" t="s">
        <v>197</v>
      </c>
      <c r="B137" s="1">
        <v>138</v>
      </c>
      <c r="C137" s="1" t="s">
        <v>523</v>
      </c>
      <c r="D137" s="1" t="s">
        <v>524</v>
      </c>
      <c r="E137" s="1" t="s">
        <v>525</v>
      </c>
      <c r="F137" s="1" t="s">
        <v>526</v>
      </c>
      <c r="G137" s="1"/>
      <c r="H137" s="1"/>
    </row>
    <row r="138" spans="1:8" x14ac:dyDescent="0.2">
      <c r="A138" s="1" t="s">
        <v>197</v>
      </c>
      <c r="B138" s="1">
        <v>139</v>
      </c>
      <c r="C138" s="1" t="s">
        <v>527</v>
      </c>
      <c r="D138" s="1" t="s">
        <v>528</v>
      </c>
      <c r="E138" s="1" t="s">
        <v>529</v>
      </c>
      <c r="F138" s="1" t="s">
        <v>530</v>
      </c>
      <c r="G138" s="1"/>
      <c r="H138" s="1"/>
    </row>
    <row r="139" spans="1:8" x14ac:dyDescent="0.2">
      <c r="A139" s="1" t="s">
        <v>197</v>
      </c>
      <c r="B139" s="1">
        <v>140</v>
      </c>
      <c r="C139" s="1" t="s">
        <v>531</v>
      </c>
      <c r="D139" s="1" t="s">
        <v>532</v>
      </c>
      <c r="E139" s="1" t="s">
        <v>529</v>
      </c>
      <c r="F139" s="1" t="s">
        <v>530</v>
      </c>
      <c r="G139" s="1"/>
      <c r="H139" s="1"/>
    </row>
    <row r="140" spans="1:8" x14ac:dyDescent="0.2">
      <c r="A140" s="1" t="s">
        <v>197</v>
      </c>
      <c r="B140" s="1">
        <v>141</v>
      </c>
      <c r="C140" s="1" t="s">
        <v>533</v>
      </c>
      <c r="D140" s="1" t="s">
        <v>534</v>
      </c>
      <c r="E140" s="1" t="s">
        <v>535</v>
      </c>
      <c r="F140" s="1" t="s">
        <v>536</v>
      </c>
      <c r="G140" s="1"/>
      <c r="H140" s="1"/>
    </row>
    <row r="141" spans="1:8" x14ac:dyDescent="0.2">
      <c r="A141" s="1" t="s">
        <v>197</v>
      </c>
      <c r="B141" s="1">
        <v>142</v>
      </c>
      <c r="C141" s="1" t="s">
        <v>537</v>
      </c>
      <c r="D141" s="1" t="s">
        <v>538</v>
      </c>
      <c r="E141" s="1" t="s">
        <v>535</v>
      </c>
      <c r="F141" s="1" t="s">
        <v>536</v>
      </c>
      <c r="G141" s="1"/>
      <c r="H141" s="1"/>
    </row>
    <row r="142" spans="1:8" x14ac:dyDescent="0.2">
      <c r="A142" s="1" t="s">
        <v>197</v>
      </c>
      <c r="B142" s="1">
        <v>143</v>
      </c>
      <c r="C142" s="1" t="s">
        <v>539</v>
      </c>
      <c r="D142" s="1" t="s">
        <v>540</v>
      </c>
      <c r="E142" s="1" t="s">
        <v>541</v>
      </c>
      <c r="F142" s="1" t="s">
        <v>542</v>
      </c>
      <c r="G142" s="1"/>
      <c r="H142" s="1"/>
    </row>
    <row r="143" spans="1:8" x14ac:dyDescent="0.2">
      <c r="A143" s="1" t="s">
        <v>197</v>
      </c>
      <c r="B143" s="1">
        <v>144</v>
      </c>
      <c r="C143" s="1" t="s">
        <v>543</v>
      </c>
      <c r="D143" s="1" t="s">
        <v>544</v>
      </c>
      <c r="E143" s="1" t="s">
        <v>545</v>
      </c>
      <c r="F143" s="1" t="s">
        <v>546</v>
      </c>
      <c r="G143" s="1"/>
      <c r="H143" s="1"/>
    </row>
    <row r="144" spans="1:8" x14ac:dyDescent="0.2">
      <c r="A144" s="1" t="s">
        <v>197</v>
      </c>
      <c r="B144" s="1">
        <v>145</v>
      </c>
      <c r="C144" s="1" t="s">
        <v>547</v>
      </c>
      <c r="D144" s="1" t="s">
        <v>548</v>
      </c>
      <c r="E144" s="1" t="s">
        <v>545</v>
      </c>
      <c r="F144" s="1" t="s">
        <v>546</v>
      </c>
      <c r="G144" s="1"/>
      <c r="H144" s="1"/>
    </row>
    <row r="145" spans="1:8" x14ac:dyDescent="0.2">
      <c r="A145" s="1" t="s">
        <v>197</v>
      </c>
      <c r="B145" s="1">
        <v>146</v>
      </c>
      <c r="C145" s="1" t="s">
        <v>549</v>
      </c>
      <c r="D145" s="1" t="s">
        <v>550</v>
      </c>
      <c r="E145" s="1" t="s">
        <v>551</v>
      </c>
      <c r="F145" s="1" t="s">
        <v>552</v>
      </c>
      <c r="G145" s="1"/>
      <c r="H145" s="1"/>
    </row>
    <row r="146" spans="1:8" x14ac:dyDescent="0.2">
      <c r="A146" s="1" t="s">
        <v>197</v>
      </c>
      <c r="B146" s="1">
        <v>147</v>
      </c>
      <c r="C146" s="1" t="s">
        <v>553</v>
      </c>
      <c r="D146" s="1" t="s">
        <v>554</v>
      </c>
      <c r="E146" s="1" t="s">
        <v>555</v>
      </c>
      <c r="F146" s="1" t="s">
        <v>556</v>
      </c>
      <c r="G146" s="1"/>
      <c r="H146" s="1"/>
    </row>
    <row r="147" spans="1:8" x14ac:dyDescent="0.2">
      <c r="A147" s="1" t="s">
        <v>197</v>
      </c>
      <c r="B147" s="1">
        <v>148</v>
      </c>
      <c r="C147" s="1" t="s">
        <v>557</v>
      </c>
      <c r="D147" s="1" t="s">
        <v>558</v>
      </c>
      <c r="E147" s="1" t="s">
        <v>555</v>
      </c>
      <c r="F147" s="1" t="s">
        <v>556</v>
      </c>
      <c r="G147" s="1"/>
      <c r="H147" s="1"/>
    </row>
    <row r="148" spans="1:8" x14ac:dyDescent="0.2">
      <c r="A148" s="1" t="s">
        <v>197</v>
      </c>
      <c r="B148" s="1">
        <v>149</v>
      </c>
      <c r="C148" s="1" t="s">
        <v>559</v>
      </c>
      <c r="D148" s="1" t="s">
        <v>560</v>
      </c>
      <c r="E148" s="1" t="s">
        <v>561</v>
      </c>
      <c r="F148" s="1" t="s">
        <v>562</v>
      </c>
      <c r="G148" s="1"/>
      <c r="H148" s="1"/>
    </row>
    <row r="149" spans="1:8" x14ac:dyDescent="0.2">
      <c r="A149" s="1" t="s">
        <v>197</v>
      </c>
      <c r="B149" s="1">
        <v>150</v>
      </c>
      <c r="C149" s="1" t="s">
        <v>563</v>
      </c>
      <c r="D149" s="1" t="s">
        <v>564</v>
      </c>
      <c r="E149" s="1" t="s">
        <v>565</v>
      </c>
      <c r="F149" s="1" t="s">
        <v>566</v>
      </c>
      <c r="G149" s="1"/>
      <c r="H149" s="1"/>
    </row>
    <row r="150" spans="1:8" x14ac:dyDescent="0.2">
      <c r="A150" s="1" t="s">
        <v>197</v>
      </c>
      <c r="B150" s="1">
        <v>151</v>
      </c>
      <c r="C150" s="1" t="s">
        <v>567</v>
      </c>
      <c r="D150" s="1" t="s">
        <v>568</v>
      </c>
      <c r="E150" s="1" t="s">
        <v>569</v>
      </c>
      <c r="F150" s="1" t="s">
        <v>570</v>
      </c>
      <c r="G150" s="1"/>
      <c r="H150" s="1"/>
    </row>
    <row r="151" spans="1:8" x14ac:dyDescent="0.2">
      <c r="A151" s="1" t="s">
        <v>197</v>
      </c>
      <c r="B151" s="1">
        <v>152</v>
      </c>
      <c r="C151" s="1" t="s">
        <v>571</v>
      </c>
      <c r="D151" s="1" t="s">
        <v>572</v>
      </c>
      <c r="E151" s="1" t="s">
        <v>573</v>
      </c>
      <c r="F151" s="1" t="s">
        <v>574</v>
      </c>
      <c r="G151" s="1"/>
      <c r="H151" s="1"/>
    </row>
    <row r="152" spans="1:8" x14ac:dyDescent="0.2">
      <c r="A152" s="1" t="s">
        <v>197</v>
      </c>
      <c r="B152" s="1">
        <v>153</v>
      </c>
      <c r="C152" s="1" t="s">
        <v>575</v>
      </c>
      <c r="D152" s="1" t="s">
        <v>576</v>
      </c>
      <c r="E152" s="1" t="s">
        <v>577</v>
      </c>
      <c r="F152" s="1" t="s">
        <v>578</v>
      </c>
      <c r="G152" s="1"/>
      <c r="H152" s="1"/>
    </row>
    <row r="153" spans="1:8" x14ac:dyDescent="0.2">
      <c r="A153" s="1" t="s">
        <v>197</v>
      </c>
      <c r="B153" s="1">
        <v>154</v>
      </c>
      <c r="C153" s="1" t="s">
        <v>579</v>
      </c>
      <c r="D153" s="1" t="s">
        <v>580</v>
      </c>
      <c r="E153" s="1" t="s">
        <v>581</v>
      </c>
      <c r="F153" s="1" t="s">
        <v>582</v>
      </c>
      <c r="G153" s="1"/>
      <c r="H153" s="1"/>
    </row>
    <row r="154" spans="1:8" x14ac:dyDescent="0.2">
      <c r="A154" s="1" t="s">
        <v>197</v>
      </c>
      <c r="B154" s="1">
        <v>155</v>
      </c>
      <c r="C154" s="1" t="s">
        <v>583</v>
      </c>
      <c r="D154" s="1" t="s">
        <v>584</v>
      </c>
      <c r="E154" s="1" t="s">
        <v>581</v>
      </c>
      <c r="F154" s="1" t="s">
        <v>582</v>
      </c>
      <c r="G154" s="1"/>
      <c r="H154" s="1"/>
    </row>
    <row r="155" spans="1:8" x14ac:dyDescent="0.2">
      <c r="A155" s="1" t="s">
        <v>197</v>
      </c>
      <c r="B155" s="1">
        <v>156</v>
      </c>
      <c r="C155" s="1" t="s">
        <v>585</v>
      </c>
      <c r="D155" s="1" t="s">
        <v>586</v>
      </c>
      <c r="E155" s="1" t="s">
        <v>587</v>
      </c>
      <c r="F155" s="1" t="s">
        <v>588</v>
      </c>
      <c r="G155" s="1"/>
      <c r="H155" s="1"/>
    </row>
    <row r="156" spans="1:8" x14ac:dyDescent="0.2">
      <c r="A156" s="1" t="s">
        <v>197</v>
      </c>
      <c r="B156" s="1">
        <v>157</v>
      </c>
      <c r="C156" s="1" t="s">
        <v>589</v>
      </c>
      <c r="D156" s="1" t="s">
        <v>590</v>
      </c>
      <c r="E156" s="1" t="s">
        <v>587</v>
      </c>
      <c r="F156" s="1" t="s">
        <v>588</v>
      </c>
      <c r="G156" s="1"/>
      <c r="H156" s="1"/>
    </row>
    <row r="157" spans="1:8" x14ac:dyDescent="0.2">
      <c r="A157" s="1" t="s">
        <v>197</v>
      </c>
      <c r="B157" s="1">
        <v>158</v>
      </c>
      <c r="C157" s="1" t="s">
        <v>591</v>
      </c>
      <c r="D157" s="1" t="s">
        <v>592</v>
      </c>
      <c r="E157" s="1" t="s">
        <v>593</v>
      </c>
      <c r="F157" s="1" t="s">
        <v>594</v>
      </c>
      <c r="G157" s="1"/>
      <c r="H157" s="1"/>
    </row>
    <row r="158" spans="1:8" x14ac:dyDescent="0.2">
      <c r="A158" s="1" t="s">
        <v>197</v>
      </c>
      <c r="B158" s="1">
        <v>159</v>
      </c>
      <c r="C158" s="1" t="s">
        <v>595</v>
      </c>
      <c r="D158" s="1" t="s">
        <v>596</v>
      </c>
      <c r="E158" s="1" t="s">
        <v>593</v>
      </c>
      <c r="F158" s="1" t="s">
        <v>594</v>
      </c>
      <c r="G158" s="1"/>
      <c r="H158" s="1"/>
    </row>
    <row r="159" spans="1:8" x14ac:dyDescent="0.2">
      <c r="A159" s="1" t="s">
        <v>197</v>
      </c>
      <c r="B159" s="1">
        <v>160</v>
      </c>
      <c r="C159" s="1" t="s">
        <v>597</v>
      </c>
      <c r="D159" s="1" t="s">
        <v>598</v>
      </c>
      <c r="E159" s="1" t="s">
        <v>599</v>
      </c>
      <c r="F159" s="1" t="s">
        <v>600</v>
      </c>
      <c r="G159" s="1"/>
      <c r="H159" s="1"/>
    </row>
    <row r="160" spans="1:8" x14ac:dyDescent="0.2">
      <c r="A160" s="1" t="s">
        <v>197</v>
      </c>
      <c r="B160" s="1">
        <v>161</v>
      </c>
      <c r="C160" s="1" t="s">
        <v>601</v>
      </c>
      <c r="D160" s="1" t="s">
        <v>602</v>
      </c>
      <c r="E160" s="1" t="s">
        <v>603</v>
      </c>
      <c r="F160" s="1" t="s">
        <v>604</v>
      </c>
      <c r="G160" s="1"/>
      <c r="H160" s="1"/>
    </row>
    <row r="161" spans="1:8" x14ac:dyDescent="0.2">
      <c r="A161" s="1" t="s">
        <v>197</v>
      </c>
      <c r="B161" s="1">
        <v>162</v>
      </c>
      <c r="C161" s="1" t="s">
        <v>605</v>
      </c>
      <c r="D161" s="1" t="s">
        <v>606</v>
      </c>
      <c r="E161" s="1" t="s">
        <v>607</v>
      </c>
      <c r="F161" s="1" t="s">
        <v>608</v>
      </c>
      <c r="G161" s="1"/>
      <c r="H161" s="1"/>
    </row>
    <row r="162" spans="1:8" x14ac:dyDescent="0.2">
      <c r="A162" s="1" t="s">
        <v>197</v>
      </c>
      <c r="B162" s="1">
        <v>163</v>
      </c>
      <c r="C162" s="1" t="s">
        <v>609</v>
      </c>
      <c r="D162" s="1" t="s">
        <v>610</v>
      </c>
      <c r="E162" s="1" t="s">
        <v>611</v>
      </c>
      <c r="F162" s="1" t="s">
        <v>612</v>
      </c>
      <c r="G162" s="1"/>
      <c r="H162" s="1"/>
    </row>
    <row r="163" spans="1:8" x14ac:dyDescent="0.2">
      <c r="A163" s="1" t="s">
        <v>197</v>
      </c>
      <c r="B163" s="1">
        <v>164</v>
      </c>
      <c r="C163" s="1" t="s">
        <v>613</v>
      </c>
      <c r="D163" s="1" t="s">
        <v>614</v>
      </c>
      <c r="E163" s="1" t="s">
        <v>615</v>
      </c>
      <c r="F163" s="1" t="s">
        <v>616</v>
      </c>
      <c r="G163" s="1"/>
      <c r="H163" s="1"/>
    </row>
    <row r="164" spans="1:8" x14ac:dyDescent="0.2">
      <c r="A164" s="1" t="s">
        <v>197</v>
      </c>
      <c r="B164" s="1">
        <v>165</v>
      </c>
      <c r="C164" s="1" t="s">
        <v>617</v>
      </c>
      <c r="D164" s="1" t="s">
        <v>618</v>
      </c>
      <c r="E164" s="1" t="s">
        <v>619</v>
      </c>
      <c r="F164" s="1" t="s">
        <v>620</v>
      </c>
      <c r="G164" s="1"/>
      <c r="H164" s="1"/>
    </row>
    <row r="165" spans="1:8" x14ac:dyDescent="0.2">
      <c r="A165" s="1" t="s">
        <v>197</v>
      </c>
      <c r="B165" s="1">
        <v>166</v>
      </c>
      <c r="C165" s="1" t="s">
        <v>621</v>
      </c>
      <c r="D165" s="1" t="s">
        <v>622</v>
      </c>
      <c r="E165" s="1" t="s">
        <v>623</v>
      </c>
      <c r="F165" s="1" t="s">
        <v>624</v>
      </c>
      <c r="G165" s="1"/>
      <c r="H165" s="1"/>
    </row>
    <row r="166" spans="1:8" x14ac:dyDescent="0.2">
      <c r="A166" s="1" t="s">
        <v>197</v>
      </c>
      <c r="B166" s="1">
        <v>167</v>
      </c>
      <c r="C166" s="1" t="s">
        <v>625</v>
      </c>
      <c r="D166" s="1" t="s">
        <v>626</v>
      </c>
      <c r="E166" s="1" t="s">
        <v>623</v>
      </c>
      <c r="F166" s="1" t="s">
        <v>624</v>
      </c>
      <c r="G166" s="1"/>
      <c r="H166" s="1"/>
    </row>
    <row r="167" spans="1:8" x14ac:dyDescent="0.2">
      <c r="A167" s="1" t="s">
        <v>197</v>
      </c>
      <c r="B167" s="1">
        <v>168</v>
      </c>
      <c r="C167" s="1" t="s">
        <v>627</v>
      </c>
      <c r="D167" s="1" t="s">
        <v>628</v>
      </c>
      <c r="E167" s="1" t="s">
        <v>629</v>
      </c>
      <c r="F167" s="1" t="s">
        <v>630</v>
      </c>
      <c r="G167" s="1"/>
      <c r="H167" s="1"/>
    </row>
    <row r="168" spans="1:8" x14ac:dyDescent="0.2">
      <c r="A168" s="1" t="s">
        <v>197</v>
      </c>
      <c r="B168" s="1">
        <v>169</v>
      </c>
      <c r="C168" s="1" t="s">
        <v>631</v>
      </c>
      <c r="D168" s="1" t="s">
        <v>632</v>
      </c>
      <c r="E168" s="1" t="s">
        <v>629</v>
      </c>
      <c r="F168" s="1" t="s">
        <v>630</v>
      </c>
      <c r="G168" s="1"/>
      <c r="H168" s="1"/>
    </row>
    <row r="169" spans="1:8" x14ac:dyDescent="0.2">
      <c r="A169" s="1" t="s">
        <v>197</v>
      </c>
      <c r="B169" s="1">
        <v>170</v>
      </c>
      <c r="C169" s="1" t="s">
        <v>633</v>
      </c>
      <c r="D169" s="1" t="s">
        <v>634</v>
      </c>
      <c r="E169" s="1" t="s">
        <v>635</v>
      </c>
      <c r="F169" s="1" t="s">
        <v>636</v>
      </c>
      <c r="G169" s="1"/>
      <c r="H169" s="1"/>
    </row>
    <row r="170" spans="1:8" x14ac:dyDescent="0.2">
      <c r="A170" s="1" t="s">
        <v>197</v>
      </c>
      <c r="B170" s="1">
        <v>171</v>
      </c>
      <c r="C170" s="1" t="s">
        <v>637</v>
      </c>
      <c r="D170" s="1" t="s">
        <v>638</v>
      </c>
      <c r="E170" s="1" t="s">
        <v>639</v>
      </c>
      <c r="F170" s="1" t="s">
        <v>640</v>
      </c>
      <c r="G170" s="1"/>
      <c r="H170" s="1"/>
    </row>
    <row r="171" spans="1:8" x14ac:dyDescent="0.2">
      <c r="A171" s="1" t="s">
        <v>197</v>
      </c>
      <c r="B171" s="1">
        <v>172</v>
      </c>
      <c r="C171" s="1" t="s">
        <v>641</v>
      </c>
      <c r="D171" s="1" t="s">
        <v>642</v>
      </c>
      <c r="E171" s="1" t="s">
        <v>639</v>
      </c>
      <c r="F171" s="1" t="s">
        <v>640</v>
      </c>
      <c r="G171" s="1"/>
      <c r="H171" s="1"/>
    </row>
    <row r="172" spans="1:8" x14ac:dyDescent="0.2">
      <c r="A172" s="1" t="s">
        <v>197</v>
      </c>
      <c r="B172" s="1">
        <v>173</v>
      </c>
      <c r="C172" s="1" t="s">
        <v>643</v>
      </c>
      <c r="D172" s="1" t="s">
        <v>644</v>
      </c>
      <c r="E172" s="1" t="s">
        <v>645</v>
      </c>
      <c r="F172" s="1" t="s">
        <v>646</v>
      </c>
      <c r="G172" s="1"/>
      <c r="H172" s="1"/>
    </row>
    <row r="173" spans="1:8" x14ac:dyDescent="0.2">
      <c r="A173" s="1" t="s">
        <v>197</v>
      </c>
      <c r="B173" s="1">
        <v>174</v>
      </c>
      <c r="C173" s="1" t="s">
        <v>647</v>
      </c>
      <c r="D173" s="1" t="s">
        <v>648</v>
      </c>
      <c r="E173" s="1" t="s">
        <v>649</v>
      </c>
      <c r="F173" s="1" t="s">
        <v>650</v>
      </c>
      <c r="G173" s="1"/>
      <c r="H173" s="1"/>
    </row>
    <row r="174" spans="1:8" x14ac:dyDescent="0.2">
      <c r="A174" s="1" t="s">
        <v>197</v>
      </c>
      <c r="B174" s="1">
        <v>175</v>
      </c>
      <c r="C174" s="1" t="s">
        <v>651</v>
      </c>
      <c r="D174" s="1" t="s">
        <v>652</v>
      </c>
      <c r="E174" s="1" t="s">
        <v>653</v>
      </c>
      <c r="F174" s="1" t="s">
        <v>654</v>
      </c>
      <c r="G174" s="1"/>
      <c r="H174" s="1"/>
    </row>
    <row r="175" spans="1:8" x14ac:dyDescent="0.2">
      <c r="A175" s="1" t="s">
        <v>197</v>
      </c>
      <c r="B175" s="1">
        <v>176</v>
      </c>
      <c r="C175" s="1" t="s">
        <v>655</v>
      </c>
      <c r="D175" s="1" t="s">
        <v>656</v>
      </c>
      <c r="E175" s="1" t="s">
        <v>657</v>
      </c>
      <c r="F175" s="1" t="s">
        <v>658</v>
      </c>
      <c r="G175" s="1"/>
      <c r="H175" s="1"/>
    </row>
    <row r="176" spans="1:8" x14ac:dyDescent="0.2">
      <c r="A176" s="1" t="s">
        <v>197</v>
      </c>
      <c r="B176" s="1">
        <v>177</v>
      </c>
      <c r="C176" s="1" t="s">
        <v>659</v>
      </c>
      <c r="D176" s="1" t="s">
        <v>660</v>
      </c>
      <c r="E176" s="1" t="s">
        <v>661</v>
      </c>
      <c r="F176" s="1" t="s">
        <v>662</v>
      </c>
      <c r="G176" s="1"/>
      <c r="H176" s="1"/>
    </row>
    <row r="177" spans="1:8" x14ac:dyDescent="0.2">
      <c r="A177" s="1" t="s">
        <v>197</v>
      </c>
      <c r="B177" s="1">
        <v>178</v>
      </c>
      <c r="C177" s="1" t="s">
        <v>663</v>
      </c>
      <c r="D177" s="1" t="s">
        <v>664</v>
      </c>
      <c r="E177" s="1" t="s">
        <v>665</v>
      </c>
      <c r="F177" s="1" t="s">
        <v>666</v>
      </c>
      <c r="G177" s="1"/>
      <c r="H177" s="1"/>
    </row>
    <row r="178" spans="1:8" x14ac:dyDescent="0.2">
      <c r="A178" s="1" t="s">
        <v>197</v>
      </c>
      <c r="B178" s="1">
        <v>179</v>
      </c>
      <c r="C178" s="1" t="s">
        <v>667</v>
      </c>
      <c r="D178" s="1" t="s">
        <v>668</v>
      </c>
      <c r="E178" s="1" t="s">
        <v>669</v>
      </c>
      <c r="F178" s="1" t="s">
        <v>670</v>
      </c>
      <c r="G178" s="1"/>
      <c r="H178" s="1"/>
    </row>
    <row r="179" spans="1:8" x14ac:dyDescent="0.2">
      <c r="A179" s="1" t="s">
        <v>197</v>
      </c>
      <c r="B179" s="1">
        <v>180</v>
      </c>
      <c r="C179" s="1" t="s">
        <v>671</v>
      </c>
      <c r="D179" s="1" t="s">
        <v>672</v>
      </c>
      <c r="E179" s="1" t="s">
        <v>81</v>
      </c>
      <c r="F179" s="1" t="s">
        <v>673</v>
      </c>
      <c r="G179" s="1"/>
      <c r="H179" s="1"/>
    </row>
    <row r="180" spans="1:8" x14ac:dyDescent="0.2">
      <c r="A180" s="1" t="s">
        <v>197</v>
      </c>
      <c r="B180" s="1">
        <v>181</v>
      </c>
      <c r="C180" s="1" t="s">
        <v>674</v>
      </c>
      <c r="D180" s="1" t="s">
        <v>675</v>
      </c>
      <c r="E180" s="1" t="s">
        <v>81</v>
      </c>
      <c r="F180" s="1" t="s">
        <v>673</v>
      </c>
      <c r="G180" s="1"/>
      <c r="H180" s="1"/>
    </row>
    <row r="181" spans="1:8" x14ac:dyDescent="0.2">
      <c r="A181" s="1" t="s">
        <v>197</v>
      </c>
      <c r="B181" s="1">
        <v>182</v>
      </c>
      <c r="C181" s="1" t="s">
        <v>676</v>
      </c>
      <c r="D181" s="1" t="s">
        <v>677</v>
      </c>
      <c r="E181" s="1" t="s">
        <v>678</v>
      </c>
      <c r="F181" s="1" t="s">
        <v>679</v>
      </c>
      <c r="G181" s="1"/>
      <c r="H181" s="1"/>
    </row>
    <row r="182" spans="1:8" x14ac:dyDescent="0.2">
      <c r="A182" s="1" t="s">
        <v>197</v>
      </c>
      <c r="B182" s="1">
        <v>183</v>
      </c>
      <c r="C182" s="1" t="s">
        <v>680</v>
      </c>
      <c r="D182" s="1" t="s">
        <v>681</v>
      </c>
      <c r="E182" s="1" t="s">
        <v>682</v>
      </c>
      <c r="F182" s="1" t="s">
        <v>683</v>
      </c>
      <c r="G182" s="1"/>
      <c r="H182" s="1"/>
    </row>
    <row r="183" spans="1:8" x14ac:dyDescent="0.2">
      <c r="A183" s="1" t="s">
        <v>197</v>
      </c>
      <c r="B183" s="1">
        <v>184</v>
      </c>
      <c r="C183" s="1" t="s">
        <v>684</v>
      </c>
      <c r="D183" s="1" t="s">
        <v>685</v>
      </c>
      <c r="E183" s="1" t="s">
        <v>686</v>
      </c>
      <c r="F183" s="1" t="s">
        <v>687</v>
      </c>
      <c r="G183" s="1"/>
      <c r="H183" s="1"/>
    </row>
    <row r="184" spans="1:8" x14ac:dyDescent="0.2">
      <c r="A184" s="1" t="s">
        <v>197</v>
      </c>
      <c r="B184" s="1">
        <v>185</v>
      </c>
      <c r="C184" s="1" t="s">
        <v>688</v>
      </c>
      <c r="D184" s="1" t="s">
        <v>689</v>
      </c>
      <c r="E184" s="1" t="s">
        <v>690</v>
      </c>
      <c r="F184" s="1" t="s">
        <v>691</v>
      </c>
      <c r="G184" s="1"/>
      <c r="H184" s="1"/>
    </row>
    <row r="185" spans="1:8" x14ac:dyDescent="0.2">
      <c r="A185" s="1" t="s">
        <v>197</v>
      </c>
      <c r="B185" s="1">
        <v>186</v>
      </c>
      <c r="C185" s="1" t="s">
        <v>692</v>
      </c>
      <c r="D185" s="1" t="s">
        <v>693</v>
      </c>
      <c r="E185" s="1" t="s">
        <v>694</v>
      </c>
      <c r="F185" s="1" t="s">
        <v>695</v>
      </c>
      <c r="G185" s="1"/>
      <c r="H185" s="1"/>
    </row>
    <row r="186" spans="1:8" x14ac:dyDescent="0.2">
      <c r="A186" s="1" t="s">
        <v>197</v>
      </c>
      <c r="B186" s="1">
        <v>187</v>
      </c>
      <c r="C186" s="1" t="s">
        <v>696</v>
      </c>
      <c r="D186" s="1" t="s">
        <v>697</v>
      </c>
      <c r="E186" s="1" t="s">
        <v>698</v>
      </c>
      <c r="F186" s="1" t="s">
        <v>699</v>
      </c>
      <c r="G186" s="1"/>
      <c r="H186" s="1"/>
    </row>
    <row r="187" spans="1:8" x14ac:dyDescent="0.2">
      <c r="A187" s="1" t="s">
        <v>197</v>
      </c>
      <c r="B187" s="1">
        <v>188</v>
      </c>
      <c r="C187" s="1" t="s">
        <v>700</v>
      </c>
      <c r="D187" s="1" t="s">
        <v>701</v>
      </c>
      <c r="E187" s="1" t="s">
        <v>702</v>
      </c>
      <c r="F187" s="1" t="s">
        <v>703</v>
      </c>
      <c r="G187" s="1"/>
      <c r="H187" s="1"/>
    </row>
    <row r="188" spans="1:8" x14ac:dyDescent="0.2">
      <c r="A188" s="1" t="s">
        <v>197</v>
      </c>
      <c r="B188" s="1">
        <v>189</v>
      </c>
      <c r="C188" s="1" t="s">
        <v>704</v>
      </c>
      <c r="D188" s="1" t="s">
        <v>705</v>
      </c>
      <c r="E188" s="1" t="s">
        <v>706</v>
      </c>
      <c r="F188" s="1" t="s">
        <v>707</v>
      </c>
      <c r="G188" s="1"/>
      <c r="H188" s="1"/>
    </row>
    <row r="189" spans="1:8" x14ac:dyDescent="0.2">
      <c r="A189" s="1" t="s">
        <v>197</v>
      </c>
      <c r="B189" s="1">
        <v>190</v>
      </c>
      <c r="C189" s="1" t="s">
        <v>708</v>
      </c>
      <c r="D189" s="1" t="s">
        <v>709</v>
      </c>
      <c r="E189" s="1" t="s">
        <v>710</v>
      </c>
      <c r="F189" s="1" t="s">
        <v>711</v>
      </c>
      <c r="G189" s="1"/>
      <c r="H189" s="1"/>
    </row>
    <row r="190" spans="1:8" x14ac:dyDescent="0.2">
      <c r="A190" s="1" t="s">
        <v>197</v>
      </c>
      <c r="B190" s="1">
        <v>191</v>
      </c>
      <c r="C190" s="1" t="s">
        <v>712</v>
      </c>
      <c r="D190" s="1" t="s">
        <v>713</v>
      </c>
      <c r="E190" s="1" t="s">
        <v>714</v>
      </c>
      <c r="F190" s="1" t="s">
        <v>715</v>
      </c>
      <c r="G190" s="1"/>
      <c r="H190" s="1"/>
    </row>
    <row r="191" spans="1:8" x14ac:dyDescent="0.2">
      <c r="A191" s="1" t="s">
        <v>197</v>
      </c>
      <c r="B191" s="1">
        <v>192</v>
      </c>
      <c r="C191" s="1" t="s">
        <v>716</v>
      </c>
      <c r="D191" s="1" t="s">
        <v>717</v>
      </c>
      <c r="E191" s="1" t="s">
        <v>718</v>
      </c>
      <c r="F191" s="1" t="s">
        <v>719</v>
      </c>
      <c r="G191" s="1"/>
      <c r="H191" s="1"/>
    </row>
    <row r="192" spans="1:8" x14ac:dyDescent="0.2">
      <c r="A192" s="1" t="s">
        <v>197</v>
      </c>
      <c r="B192" s="1">
        <v>193</v>
      </c>
      <c r="C192" s="1" t="s">
        <v>720</v>
      </c>
      <c r="D192" s="1" t="s">
        <v>721</v>
      </c>
      <c r="E192" s="1" t="s">
        <v>722</v>
      </c>
      <c r="F192" s="1" t="s">
        <v>723</v>
      </c>
      <c r="G192" s="1"/>
      <c r="H192" s="1"/>
    </row>
    <row r="193" spans="1:8" x14ac:dyDescent="0.2">
      <c r="A193" s="1" t="s">
        <v>197</v>
      </c>
      <c r="B193" s="1">
        <v>194</v>
      </c>
      <c r="C193" s="1" t="s">
        <v>724</v>
      </c>
      <c r="D193" s="1" t="s">
        <v>725</v>
      </c>
      <c r="E193" s="1" t="s">
        <v>726</v>
      </c>
      <c r="F193" s="1" t="s">
        <v>727</v>
      </c>
      <c r="G193" s="1"/>
      <c r="H193" s="1"/>
    </row>
    <row r="194" spans="1:8" x14ac:dyDescent="0.2">
      <c r="A194" s="1" t="s">
        <v>197</v>
      </c>
      <c r="B194" s="1">
        <v>195</v>
      </c>
      <c r="C194" s="1" t="s">
        <v>728</v>
      </c>
      <c r="D194" s="1" t="s">
        <v>729</v>
      </c>
      <c r="E194" s="1" t="s">
        <v>730</v>
      </c>
      <c r="F194" s="1" t="s">
        <v>731</v>
      </c>
      <c r="G194" s="1"/>
      <c r="H194" s="1"/>
    </row>
    <row r="195" spans="1:8" x14ac:dyDescent="0.2">
      <c r="A195" s="1" t="s">
        <v>197</v>
      </c>
      <c r="B195" s="1">
        <v>196</v>
      </c>
      <c r="C195" s="1" t="s">
        <v>732</v>
      </c>
      <c r="D195" s="1" t="s">
        <v>733</v>
      </c>
      <c r="E195" s="1" t="s">
        <v>734</v>
      </c>
      <c r="F195" s="1" t="s">
        <v>735</v>
      </c>
      <c r="G195" s="1"/>
      <c r="H195" s="1"/>
    </row>
    <row r="196" spans="1:8" x14ac:dyDescent="0.2">
      <c r="A196" s="1" t="s">
        <v>197</v>
      </c>
      <c r="B196" s="1">
        <v>197</v>
      </c>
      <c r="C196" s="1" t="s">
        <v>736</v>
      </c>
      <c r="D196" s="1" t="s">
        <v>737</v>
      </c>
      <c r="E196" s="1" t="s">
        <v>738</v>
      </c>
      <c r="F196" s="1" t="s">
        <v>739</v>
      </c>
      <c r="G196" s="1"/>
      <c r="H196" s="1"/>
    </row>
    <row r="197" spans="1:8" x14ac:dyDescent="0.2">
      <c r="A197" s="1" t="s">
        <v>197</v>
      </c>
      <c r="B197" s="1">
        <v>198</v>
      </c>
      <c r="C197" s="1" t="s">
        <v>740</v>
      </c>
      <c r="D197" s="1" t="s">
        <v>741</v>
      </c>
      <c r="E197" s="1" t="s">
        <v>742</v>
      </c>
      <c r="F197" s="1" t="s">
        <v>743</v>
      </c>
      <c r="G197" s="1"/>
      <c r="H197" s="1"/>
    </row>
    <row r="198" spans="1:8" x14ac:dyDescent="0.2">
      <c r="A198" s="1" t="s">
        <v>197</v>
      </c>
      <c r="B198" s="1">
        <v>199</v>
      </c>
      <c r="C198" s="1" t="s">
        <v>744</v>
      </c>
      <c r="D198" s="1" t="s">
        <v>745</v>
      </c>
      <c r="E198" s="1" t="s">
        <v>746</v>
      </c>
      <c r="F198" s="1" t="s">
        <v>747</v>
      </c>
      <c r="G198" s="1"/>
      <c r="H198" s="1"/>
    </row>
    <row r="199" spans="1:8" x14ac:dyDescent="0.2">
      <c r="A199" s="1" t="s">
        <v>197</v>
      </c>
      <c r="B199" s="1">
        <v>200</v>
      </c>
      <c r="C199" s="1" t="s">
        <v>748</v>
      </c>
      <c r="D199" s="1" t="s">
        <v>749</v>
      </c>
      <c r="E199" s="1" t="s">
        <v>750</v>
      </c>
      <c r="F199" s="1" t="s">
        <v>751</v>
      </c>
      <c r="G199" s="1"/>
      <c r="H199" s="1"/>
    </row>
    <row r="200" spans="1:8" x14ac:dyDescent="0.2">
      <c r="A200" s="1" t="s">
        <v>197</v>
      </c>
      <c r="B200" s="1">
        <v>201</v>
      </c>
      <c r="C200" s="1" t="s">
        <v>752</v>
      </c>
      <c r="D200" s="1" t="s">
        <v>753</v>
      </c>
      <c r="E200" s="1" t="s">
        <v>754</v>
      </c>
      <c r="F200" s="1" t="s">
        <v>755</v>
      </c>
      <c r="G200" s="1"/>
      <c r="H200" s="1"/>
    </row>
    <row r="201" spans="1:8" x14ac:dyDescent="0.2">
      <c r="A201" s="1" t="s">
        <v>197</v>
      </c>
      <c r="B201" s="1">
        <v>202</v>
      </c>
      <c r="C201" s="1" t="s">
        <v>756</v>
      </c>
      <c r="D201" s="1" t="s">
        <v>757</v>
      </c>
      <c r="E201" s="1" t="s">
        <v>754</v>
      </c>
      <c r="F201" s="1" t="s">
        <v>755</v>
      </c>
      <c r="G201" s="1"/>
      <c r="H201" s="1"/>
    </row>
    <row r="202" spans="1:8" x14ac:dyDescent="0.2">
      <c r="A202" s="1" t="s">
        <v>197</v>
      </c>
      <c r="B202" s="1">
        <v>203</v>
      </c>
      <c r="C202" s="1" t="s">
        <v>758</v>
      </c>
      <c r="D202" s="1" t="s">
        <v>759</v>
      </c>
      <c r="E202" s="1" t="s">
        <v>760</v>
      </c>
      <c r="F202" s="1" t="s">
        <v>761</v>
      </c>
      <c r="G202" s="1"/>
      <c r="H202" s="1"/>
    </row>
    <row r="203" spans="1:8" x14ac:dyDescent="0.2">
      <c r="A203" s="1" t="s">
        <v>197</v>
      </c>
      <c r="B203" s="1">
        <v>204</v>
      </c>
      <c r="C203" s="1" t="s">
        <v>762</v>
      </c>
      <c r="D203" s="1" t="s">
        <v>763</v>
      </c>
      <c r="E203" s="1" t="s">
        <v>764</v>
      </c>
      <c r="F203" s="1" t="s">
        <v>765</v>
      </c>
      <c r="G203" s="1"/>
      <c r="H203" s="1"/>
    </row>
    <row r="204" spans="1:8" x14ac:dyDescent="0.2">
      <c r="A204" s="1" t="s">
        <v>197</v>
      </c>
      <c r="B204" s="1">
        <v>205</v>
      </c>
      <c r="C204" s="1" t="s">
        <v>766</v>
      </c>
      <c r="D204" s="1" t="s">
        <v>767</v>
      </c>
      <c r="E204" s="1" t="s">
        <v>768</v>
      </c>
      <c r="F204" s="1" t="s">
        <v>769</v>
      </c>
      <c r="G204" s="1"/>
      <c r="H204" s="1"/>
    </row>
    <row r="205" spans="1:8" x14ac:dyDescent="0.2">
      <c r="A205" s="1" t="s">
        <v>197</v>
      </c>
      <c r="B205" s="1">
        <v>206</v>
      </c>
      <c r="C205" s="1" t="s">
        <v>770</v>
      </c>
      <c r="D205" s="1" t="s">
        <v>771</v>
      </c>
      <c r="E205" s="1" t="s">
        <v>772</v>
      </c>
      <c r="F205" s="1" t="s">
        <v>773</v>
      </c>
      <c r="G205" s="1"/>
      <c r="H205" s="1"/>
    </row>
    <row r="206" spans="1:8" x14ac:dyDescent="0.2">
      <c r="A206" s="1" t="s">
        <v>197</v>
      </c>
      <c r="B206" s="1">
        <v>207</v>
      </c>
      <c r="C206" s="1" t="s">
        <v>774</v>
      </c>
      <c r="D206" s="1" t="s">
        <v>775</v>
      </c>
      <c r="E206" s="1" t="s">
        <v>138</v>
      </c>
      <c r="F206" s="1" t="s">
        <v>776</v>
      </c>
      <c r="G206" s="1"/>
      <c r="H206" s="1"/>
    </row>
    <row r="207" spans="1:8" x14ac:dyDescent="0.2">
      <c r="A207" s="1" t="s">
        <v>197</v>
      </c>
      <c r="B207" s="1">
        <v>208</v>
      </c>
      <c r="C207" s="1" t="s">
        <v>777</v>
      </c>
      <c r="D207" s="1" t="s">
        <v>778</v>
      </c>
      <c r="E207" s="1" t="s">
        <v>779</v>
      </c>
      <c r="F207" s="1" t="s">
        <v>780</v>
      </c>
      <c r="G207" s="1"/>
      <c r="H207" s="1"/>
    </row>
    <row r="208" spans="1:8" x14ac:dyDescent="0.2">
      <c r="A208" s="1" t="s">
        <v>197</v>
      </c>
      <c r="B208" s="1">
        <v>209</v>
      </c>
      <c r="C208" s="1" t="s">
        <v>781</v>
      </c>
      <c r="D208" s="1" t="s">
        <v>782</v>
      </c>
      <c r="E208" s="1" t="s">
        <v>783</v>
      </c>
      <c r="F208" s="1" t="s">
        <v>784</v>
      </c>
      <c r="G208" s="1"/>
      <c r="H208" s="1"/>
    </row>
    <row r="209" spans="1:8" x14ac:dyDescent="0.2">
      <c r="A209" s="1" t="s">
        <v>197</v>
      </c>
      <c r="B209" s="1">
        <v>210</v>
      </c>
      <c r="C209" s="1" t="s">
        <v>785</v>
      </c>
      <c r="D209" s="1" t="s">
        <v>786</v>
      </c>
      <c r="E209" s="1" t="s">
        <v>787</v>
      </c>
      <c r="F209" s="1" t="s">
        <v>788</v>
      </c>
      <c r="G209" s="1"/>
      <c r="H209" s="1"/>
    </row>
    <row r="210" spans="1:8" x14ac:dyDescent="0.2">
      <c r="A210" s="1" t="s">
        <v>197</v>
      </c>
      <c r="B210" s="1">
        <v>211</v>
      </c>
      <c r="C210" s="1" t="s">
        <v>789</v>
      </c>
      <c r="D210" s="1" t="s">
        <v>790</v>
      </c>
      <c r="E210" s="1" t="s">
        <v>791</v>
      </c>
      <c r="F210" s="1" t="s">
        <v>792</v>
      </c>
      <c r="G210" s="1"/>
      <c r="H210" s="1"/>
    </row>
    <row r="211" spans="1:8" x14ac:dyDescent="0.2">
      <c r="A211" s="1" t="s">
        <v>197</v>
      </c>
      <c r="B211" s="1">
        <v>212</v>
      </c>
      <c r="C211" s="1" t="s">
        <v>793</v>
      </c>
      <c r="D211" s="1" t="s">
        <v>794</v>
      </c>
      <c r="E211" s="1" t="s">
        <v>795</v>
      </c>
      <c r="F211" s="1" t="s">
        <v>796</v>
      </c>
      <c r="G211" s="1"/>
      <c r="H211" s="1"/>
    </row>
    <row r="212" spans="1:8" x14ac:dyDescent="0.2">
      <c r="A212" s="1" t="s">
        <v>197</v>
      </c>
      <c r="B212" s="1">
        <v>213</v>
      </c>
      <c r="C212" s="1" t="s">
        <v>797</v>
      </c>
      <c r="D212" s="1" t="s">
        <v>798</v>
      </c>
      <c r="E212" s="1" t="s">
        <v>799</v>
      </c>
      <c r="F212" s="1" t="s">
        <v>800</v>
      </c>
      <c r="G212" s="1"/>
      <c r="H212" s="1"/>
    </row>
    <row r="213" spans="1:8" x14ac:dyDescent="0.2">
      <c r="A213" s="1" t="s">
        <v>197</v>
      </c>
      <c r="B213" s="1">
        <v>214</v>
      </c>
      <c r="C213" s="1" t="s">
        <v>801</v>
      </c>
      <c r="D213" s="1" t="s">
        <v>802</v>
      </c>
      <c r="E213" s="1" t="s">
        <v>803</v>
      </c>
      <c r="F213" s="1" t="s">
        <v>804</v>
      </c>
      <c r="G213" s="1"/>
      <c r="H213" s="1"/>
    </row>
    <row r="214" spans="1:8" x14ac:dyDescent="0.2">
      <c r="A214" s="1" t="s">
        <v>197</v>
      </c>
      <c r="B214" s="1">
        <v>215</v>
      </c>
      <c r="C214" s="1" t="s">
        <v>805</v>
      </c>
      <c r="D214" s="1" t="s">
        <v>806</v>
      </c>
      <c r="E214" s="1" t="s">
        <v>803</v>
      </c>
      <c r="F214" s="1" t="s">
        <v>804</v>
      </c>
      <c r="G214" s="1"/>
      <c r="H214" s="1"/>
    </row>
    <row r="215" spans="1:8" x14ac:dyDescent="0.2">
      <c r="A215" s="1" t="s">
        <v>197</v>
      </c>
      <c r="B215" s="1">
        <v>216</v>
      </c>
      <c r="C215" s="1" t="s">
        <v>807</v>
      </c>
      <c r="D215" s="1" t="s">
        <v>808</v>
      </c>
      <c r="E215" s="1" t="s">
        <v>809</v>
      </c>
      <c r="F215" s="1" t="s">
        <v>810</v>
      </c>
      <c r="G215" s="1"/>
      <c r="H215" s="1"/>
    </row>
    <row r="216" spans="1:8" x14ac:dyDescent="0.2">
      <c r="A216" s="1" t="s">
        <v>197</v>
      </c>
      <c r="B216" s="1">
        <v>217</v>
      </c>
      <c r="C216" s="1" t="s">
        <v>811</v>
      </c>
      <c r="D216" s="1" t="s">
        <v>812</v>
      </c>
      <c r="E216" s="1" t="s">
        <v>813</v>
      </c>
      <c r="F216" s="1" t="s">
        <v>814</v>
      </c>
      <c r="G216" s="1"/>
      <c r="H216" s="1"/>
    </row>
    <row r="217" spans="1:8" x14ac:dyDescent="0.2">
      <c r="A217" s="1" t="s">
        <v>197</v>
      </c>
      <c r="B217" s="1">
        <v>218</v>
      </c>
      <c r="C217" s="1" t="s">
        <v>815</v>
      </c>
      <c r="D217" s="1" t="s">
        <v>816</v>
      </c>
      <c r="E217" s="1" t="s">
        <v>817</v>
      </c>
      <c r="F217" s="1" t="s">
        <v>818</v>
      </c>
      <c r="G217" s="1"/>
      <c r="H217" s="1"/>
    </row>
    <row r="218" spans="1:8" x14ac:dyDescent="0.2">
      <c r="A218" s="1" t="s">
        <v>197</v>
      </c>
      <c r="B218" s="1">
        <v>219</v>
      </c>
      <c r="C218" s="1" t="s">
        <v>819</v>
      </c>
      <c r="D218" s="1" t="s">
        <v>820</v>
      </c>
      <c r="E218" s="1" t="s">
        <v>821</v>
      </c>
      <c r="F218" s="1" t="s">
        <v>822</v>
      </c>
      <c r="G218" s="1"/>
      <c r="H218" s="1"/>
    </row>
    <row r="219" spans="1:8" x14ac:dyDescent="0.2">
      <c r="A219" s="1" t="s">
        <v>197</v>
      </c>
      <c r="B219" s="1">
        <v>220</v>
      </c>
      <c r="C219" s="1" t="s">
        <v>823</v>
      </c>
      <c r="D219" s="1" t="s">
        <v>824</v>
      </c>
      <c r="E219" s="1" t="s">
        <v>821</v>
      </c>
      <c r="F219" s="1" t="s">
        <v>822</v>
      </c>
      <c r="G219" s="1"/>
      <c r="H219" s="1"/>
    </row>
    <row r="220" spans="1:8" x14ac:dyDescent="0.2">
      <c r="A220" s="1" t="s">
        <v>197</v>
      </c>
      <c r="B220" s="1">
        <v>221</v>
      </c>
      <c r="C220" s="1" t="s">
        <v>825</v>
      </c>
      <c r="D220" s="1" t="s">
        <v>826</v>
      </c>
      <c r="E220" s="1" t="s">
        <v>827</v>
      </c>
      <c r="F220" s="1" t="s">
        <v>828</v>
      </c>
      <c r="G220" s="1"/>
      <c r="H220" s="1"/>
    </row>
    <row r="221" spans="1:8" x14ac:dyDescent="0.2">
      <c r="A221" s="1" t="s">
        <v>197</v>
      </c>
      <c r="B221" s="1">
        <v>222</v>
      </c>
      <c r="C221" s="1" t="s">
        <v>829</v>
      </c>
      <c r="D221" s="1" t="s">
        <v>830</v>
      </c>
      <c r="E221" s="1" t="s">
        <v>831</v>
      </c>
      <c r="F221" s="1" t="s">
        <v>832</v>
      </c>
      <c r="G221" s="1"/>
      <c r="H221" s="1"/>
    </row>
    <row r="222" spans="1:8" x14ac:dyDescent="0.2">
      <c r="A222" s="1" t="s">
        <v>197</v>
      </c>
      <c r="B222" s="1">
        <v>223</v>
      </c>
      <c r="C222" s="1" t="s">
        <v>833</v>
      </c>
      <c r="D222" s="1" t="s">
        <v>834</v>
      </c>
      <c r="E222" s="1" t="s">
        <v>835</v>
      </c>
      <c r="F222" s="1" t="s">
        <v>836</v>
      </c>
      <c r="G222" s="1"/>
      <c r="H222" s="1"/>
    </row>
    <row r="223" spans="1:8" x14ac:dyDescent="0.2">
      <c r="A223" s="1" t="s">
        <v>197</v>
      </c>
      <c r="B223" s="1">
        <v>224</v>
      </c>
      <c r="C223" s="1" t="s">
        <v>837</v>
      </c>
      <c r="D223" s="1" t="s">
        <v>838</v>
      </c>
      <c r="E223" s="1" t="s">
        <v>839</v>
      </c>
      <c r="F223" s="1" t="s">
        <v>840</v>
      </c>
      <c r="G223" s="1"/>
      <c r="H223" s="1"/>
    </row>
    <row r="224" spans="1:8" x14ac:dyDescent="0.2">
      <c r="A224" s="1" t="s">
        <v>197</v>
      </c>
      <c r="B224" s="1">
        <v>225</v>
      </c>
      <c r="C224" s="1" t="s">
        <v>841</v>
      </c>
      <c r="D224" s="1" t="s">
        <v>842</v>
      </c>
      <c r="E224" s="1" t="s">
        <v>843</v>
      </c>
      <c r="F224" s="1" t="s">
        <v>844</v>
      </c>
      <c r="G224" s="1"/>
      <c r="H224" s="1"/>
    </row>
    <row r="225" spans="1:8" x14ac:dyDescent="0.2">
      <c r="A225" s="1" t="s">
        <v>197</v>
      </c>
      <c r="B225" s="1">
        <v>226</v>
      </c>
      <c r="C225" s="1" t="s">
        <v>845</v>
      </c>
      <c r="D225" s="1" t="s">
        <v>846</v>
      </c>
      <c r="E225" s="1" t="s">
        <v>843</v>
      </c>
      <c r="F225" s="1" t="s">
        <v>844</v>
      </c>
      <c r="G225" s="1"/>
      <c r="H225" s="1"/>
    </row>
    <row r="226" spans="1:8" x14ac:dyDescent="0.2">
      <c r="A226" s="1" t="s">
        <v>197</v>
      </c>
      <c r="B226" s="1">
        <v>227</v>
      </c>
      <c r="C226" s="1" t="s">
        <v>847</v>
      </c>
      <c r="D226" s="1" t="s">
        <v>848</v>
      </c>
      <c r="E226" s="1" t="s">
        <v>849</v>
      </c>
      <c r="F226" s="1" t="s">
        <v>850</v>
      </c>
      <c r="G226" s="1"/>
      <c r="H226" s="1"/>
    </row>
    <row r="227" spans="1:8" x14ac:dyDescent="0.2">
      <c r="A227" s="1" t="s">
        <v>197</v>
      </c>
      <c r="B227" s="1">
        <v>228</v>
      </c>
      <c r="C227" s="1" t="s">
        <v>851</v>
      </c>
      <c r="D227" s="1" t="s">
        <v>852</v>
      </c>
      <c r="E227" s="1" t="s">
        <v>853</v>
      </c>
      <c r="F227" s="1" t="s">
        <v>854</v>
      </c>
      <c r="G227" s="1"/>
      <c r="H227" s="1"/>
    </row>
    <row r="228" spans="1:8" x14ac:dyDescent="0.2">
      <c r="A228" s="1" t="s">
        <v>197</v>
      </c>
      <c r="B228" s="1">
        <v>229</v>
      </c>
      <c r="C228" s="1" t="s">
        <v>855</v>
      </c>
      <c r="D228" s="1" t="s">
        <v>856</v>
      </c>
      <c r="E228" s="1" t="s">
        <v>857</v>
      </c>
      <c r="F228" s="1" t="s">
        <v>858</v>
      </c>
      <c r="G228" s="1"/>
      <c r="H228" s="1"/>
    </row>
    <row r="229" spans="1:8" x14ac:dyDescent="0.2">
      <c r="A229" s="1" t="s">
        <v>197</v>
      </c>
      <c r="B229" s="1">
        <v>230</v>
      </c>
      <c r="C229" s="1" t="s">
        <v>859</v>
      </c>
      <c r="D229" s="1" t="s">
        <v>860</v>
      </c>
      <c r="E229" s="1" t="s">
        <v>857</v>
      </c>
      <c r="F229" s="1" t="s">
        <v>858</v>
      </c>
      <c r="G229" s="1"/>
      <c r="H229" s="1"/>
    </row>
    <row r="230" spans="1:8" x14ac:dyDescent="0.2">
      <c r="A230" s="1" t="s">
        <v>197</v>
      </c>
      <c r="B230" s="1">
        <v>231</v>
      </c>
      <c r="C230" s="1" t="s">
        <v>861</v>
      </c>
      <c r="D230" s="1" t="s">
        <v>862</v>
      </c>
      <c r="E230" s="1" t="s">
        <v>863</v>
      </c>
      <c r="F230" s="1" t="s">
        <v>864</v>
      </c>
      <c r="G230" s="1"/>
      <c r="H230" s="1"/>
    </row>
    <row r="231" spans="1:8" x14ac:dyDescent="0.2">
      <c r="A231" s="1" t="s">
        <v>197</v>
      </c>
      <c r="B231" s="1">
        <v>232</v>
      </c>
      <c r="C231" s="1" t="s">
        <v>865</v>
      </c>
      <c r="D231" s="1" t="s">
        <v>866</v>
      </c>
      <c r="E231" s="1" t="s">
        <v>867</v>
      </c>
      <c r="F231" s="1" t="s">
        <v>868</v>
      </c>
      <c r="G231" s="1"/>
      <c r="H231" s="1"/>
    </row>
    <row r="232" spans="1:8" x14ac:dyDescent="0.2">
      <c r="A232" s="1" t="s">
        <v>197</v>
      </c>
      <c r="B232" s="1">
        <v>233</v>
      </c>
      <c r="C232" s="1" t="s">
        <v>869</v>
      </c>
      <c r="D232" s="1" t="s">
        <v>870</v>
      </c>
      <c r="E232" s="1" t="s">
        <v>871</v>
      </c>
      <c r="F232" s="1" t="s">
        <v>872</v>
      </c>
      <c r="G232" s="1"/>
      <c r="H232" s="1"/>
    </row>
    <row r="233" spans="1:8" x14ac:dyDescent="0.2">
      <c r="A233" s="1" t="s">
        <v>197</v>
      </c>
      <c r="B233" s="1">
        <v>234</v>
      </c>
      <c r="C233" s="1" t="s">
        <v>873</v>
      </c>
      <c r="D233" s="1" t="s">
        <v>874</v>
      </c>
      <c r="E233" s="1" t="s">
        <v>875</v>
      </c>
      <c r="F233" s="1" t="s">
        <v>876</v>
      </c>
      <c r="G233" s="1"/>
      <c r="H233" s="1"/>
    </row>
    <row r="234" spans="1:8" x14ac:dyDescent="0.2">
      <c r="A234" s="1" t="s">
        <v>197</v>
      </c>
      <c r="B234" s="1">
        <v>235</v>
      </c>
      <c r="C234" s="1" t="s">
        <v>877</v>
      </c>
      <c r="D234" s="1" t="s">
        <v>878</v>
      </c>
      <c r="E234" s="1" t="s">
        <v>879</v>
      </c>
      <c r="F234" s="1" t="s">
        <v>880</v>
      </c>
      <c r="G234" s="1"/>
      <c r="H234" s="1"/>
    </row>
    <row r="235" spans="1:8" x14ac:dyDescent="0.2">
      <c r="A235" s="1" t="s">
        <v>197</v>
      </c>
      <c r="B235" s="1">
        <v>236</v>
      </c>
      <c r="C235" s="1" t="s">
        <v>881</v>
      </c>
      <c r="D235" s="1" t="s">
        <v>882</v>
      </c>
      <c r="E235" s="1" t="s">
        <v>883</v>
      </c>
      <c r="F235" s="1" t="s">
        <v>884</v>
      </c>
      <c r="G235" s="1"/>
      <c r="H235" s="1"/>
    </row>
    <row r="236" spans="1:8" x14ac:dyDescent="0.2">
      <c r="A236" s="1" t="s">
        <v>197</v>
      </c>
      <c r="B236" s="1">
        <v>237</v>
      </c>
      <c r="C236" s="1" t="s">
        <v>885</v>
      </c>
      <c r="D236" s="1" t="s">
        <v>886</v>
      </c>
      <c r="E236" s="1" t="s">
        <v>887</v>
      </c>
      <c r="F236" s="1" t="s">
        <v>888</v>
      </c>
      <c r="G236" s="1"/>
      <c r="H236" s="1"/>
    </row>
    <row r="237" spans="1:8" x14ac:dyDescent="0.2">
      <c r="A237" s="1" t="s">
        <v>197</v>
      </c>
      <c r="B237" s="1">
        <v>238</v>
      </c>
      <c r="C237" s="1" t="s">
        <v>889</v>
      </c>
      <c r="D237" s="1" t="s">
        <v>890</v>
      </c>
      <c r="E237" s="1" t="s">
        <v>891</v>
      </c>
      <c r="F237" s="1" t="s">
        <v>892</v>
      </c>
      <c r="G237" s="1"/>
      <c r="H237" s="1"/>
    </row>
    <row r="238" spans="1:8" x14ac:dyDescent="0.2">
      <c r="A238" s="1" t="s">
        <v>197</v>
      </c>
      <c r="B238" s="1">
        <v>239</v>
      </c>
      <c r="C238" s="1" t="s">
        <v>893</v>
      </c>
      <c r="D238" s="1" t="s">
        <v>894</v>
      </c>
      <c r="E238" s="1" t="s">
        <v>895</v>
      </c>
      <c r="F238" s="1" t="s">
        <v>896</v>
      </c>
      <c r="G238" s="1"/>
      <c r="H238" s="1"/>
    </row>
    <row r="239" spans="1:8" x14ac:dyDescent="0.2">
      <c r="A239" s="1" t="s">
        <v>197</v>
      </c>
      <c r="B239" s="1">
        <v>240</v>
      </c>
      <c r="C239" s="1" t="s">
        <v>897</v>
      </c>
      <c r="D239" s="1" t="s">
        <v>898</v>
      </c>
      <c r="E239" s="1" t="s">
        <v>899</v>
      </c>
      <c r="F239" s="1" t="s">
        <v>900</v>
      </c>
      <c r="G239" s="1"/>
      <c r="H239" s="1"/>
    </row>
    <row r="240" spans="1:8" x14ac:dyDescent="0.2">
      <c r="A240" s="1" t="s">
        <v>197</v>
      </c>
      <c r="B240" s="1">
        <v>241</v>
      </c>
      <c r="C240" s="1" t="s">
        <v>901</v>
      </c>
      <c r="D240" s="1" t="s">
        <v>902</v>
      </c>
      <c r="E240" s="1" t="s">
        <v>903</v>
      </c>
      <c r="F240" s="1" t="s">
        <v>904</v>
      </c>
      <c r="G240" s="1"/>
      <c r="H240" s="1"/>
    </row>
    <row r="241" spans="1:8" x14ac:dyDescent="0.2">
      <c r="A241" s="1" t="s">
        <v>197</v>
      </c>
      <c r="B241" s="1">
        <v>242</v>
      </c>
      <c r="C241" s="1" t="s">
        <v>905</v>
      </c>
      <c r="D241" s="1" t="s">
        <v>906</v>
      </c>
      <c r="E241" s="1" t="s">
        <v>907</v>
      </c>
      <c r="F241" s="1" t="s">
        <v>908</v>
      </c>
      <c r="G241" s="1"/>
      <c r="H241" s="1"/>
    </row>
    <row r="242" spans="1:8" x14ac:dyDescent="0.2">
      <c r="A242" s="1" t="s">
        <v>197</v>
      </c>
      <c r="B242" s="1">
        <v>243</v>
      </c>
      <c r="C242" s="1" t="s">
        <v>909</v>
      </c>
      <c r="D242" s="1" t="s">
        <v>910</v>
      </c>
      <c r="E242" s="1" t="s">
        <v>911</v>
      </c>
      <c r="F242" s="1" t="s">
        <v>912</v>
      </c>
      <c r="G242" s="1"/>
      <c r="H242" s="1"/>
    </row>
    <row r="243" spans="1:8" x14ac:dyDescent="0.2">
      <c r="A243" s="1" t="s">
        <v>197</v>
      </c>
      <c r="B243" s="1">
        <v>244</v>
      </c>
      <c r="C243" s="1" t="s">
        <v>913</v>
      </c>
      <c r="D243" s="1" t="s">
        <v>914</v>
      </c>
      <c r="E243" s="1" t="s">
        <v>911</v>
      </c>
      <c r="F243" s="1" t="s">
        <v>912</v>
      </c>
      <c r="G243" s="1"/>
      <c r="H243" s="1"/>
    </row>
    <row r="244" spans="1:8" x14ac:dyDescent="0.2">
      <c r="A244" s="1" t="s">
        <v>197</v>
      </c>
      <c r="B244" s="1">
        <v>245</v>
      </c>
      <c r="C244" s="1" t="s">
        <v>915</v>
      </c>
      <c r="D244" s="1" t="s">
        <v>916</v>
      </c>
      <c r="E244" s="1" t="s">
        <v>917</v>
      </c>
      <c r="F244" s="1" t="s">
        <v>918</v>
      </c>
      <c r="G244" s="1"/>
      <c r="H244" s="1"/>
    </row>
    <row r="245" spans="1:8" x14ac:dyDescent="0.2">
      <c r="A245" s="1" t="s">
        <v>197</v>
      </c>
      <c r="B245" s="1">
        <v>246</v>
      </c>
      <c r="C245" s="1" t="s">
        <v>919</v>
      </c>
      <c r="D245" s="1" t="s">
        <v>920</v>
      </c>
      <c r="E245" s="1" t="s">
        <v>921</v>
      </c>
      <c r="F245" s="1" t="s">
        <v>922</v>
      </c>
      <c r="G245" s="1"/>
      <c r="H245" s="1"/>
    </row>
    <row r="246" spans="1:8" x14ac:dyDescent="0.2">
      <c r="A246" s="1" t="s">
        <v>197</v>
      </c>
      <c r="B246" s="1">
        <v>247</v>
      </c>
      <c r="C246" s="1" t="s">
        <v>923</v>
      </c>
      <c r="D246" s="1" t="s">
        <v>924</v>
      </c>
      <c r="E246" s="1" t="s">
        <v>921</v>
      </c>
      <c r="F246" s="1" t="s">
        <v>922</v>
      </c>
      <c r="G246" s="1"/>
      <c r="H246" s="1"/>
    </row>
    <row r="247" spans="1:8" x14ac:dyDescent="0.2">
      <c r="A247" s="1" t="s">
        <v>197</v>
      </c>
      <c r="B247" s="1">
        <v>248</v>
      </c>
      <c r="C247" s="1" t="s">
        <v>925</v>
      </c>
      <c r="D247" s="1" t="s">
        <v>926</v>
      </c>
      <c r="E247" s="1" t="s">
        <v>927</v>
      </c>
      <c r="F247" s="1" t="s">
        <v>928</v>
      </c>
      <c r="G247" s="1"/>
      <c r="H247" s="1"/>
    </row>
    <row r="248" spans="1:8" x14ac:dyDescent="0.2">
      <c r="A248" s="1" t="s">
        <v>197</v>
      </c>
      <c r="B248" s="1">
        <v>249</v>
      </c>
      <c r="C248" s="1" t="s">
        <v>929</v>
      </c>
      <c r="D248" s="1" t="s">
        <v>930</v>
      </c>
      <c r="E248" s="1" t="s">
        <v>931</v>
      </c>
      <c r="F248" s="1" t="s">
        <v>932</v>
      </c>
      <c r="G248" s="1"/>
      <c r="H248" s="1"/>
    </row>
    <row r="249" spans="1:8" x14ac:dyDescent="0.2">
      <c r="A249" s="1" t="s">
        <v>197</v>
      </c>
      <c r="B249" s="1">
        <v>250</v>
      </c>
      <c r="C249" s="1" t="s">
        <v>933</v>
      </c>
      <c r="D249" s="1" t="s">
        <v>934</v>
      </c>
      <c r="E249" s="1" t="s">
        <v>935</v>
      </c>
      <c r="F249" s="1" t="s">
        <v>936</v>
      </c>
      <c r="G249" s="1"/>
      <c r="H249" s="1"/>
    </row>
    <row r="250" spans="1:8" x14ac:dyDescent="0.2">
      <c r="A250" s="1" t="s">
        <v>197</v>
      </c>
      <c r="B250" s="1">
        <v>251</v>
      </c>
      <c r="C250" s="1" t="s">
        <v>937</v>
      </c>
      <c r="D250" s="1" t="s">
        <v>938</v>
      </c>
      <c r="E250" s="1" t="s">
        <v>935</v>
      </c>
      <c r="F250" s="1" t="s">
        <v>936</v>
      </c>
      <c r="G250" s="1"/>
      <c r="H250" s="1"/>
    </row>
    <row r="251" spans="1:8" x14ac:dyDescent="0.2">
      <c r="A251" s="1" t="s">
        <v>197</v>
      </c>
      <c r="B251" s="1">
        <v>252</v>
      </c>
      <c r="C251" s="1" t="s">
        <v>939</v>
      </c>
      <c r="D251" s="1" t="s">
        <v>940</v>
      </c>
      <c r="E251" s="1" t="s">
        <v>935</v>
      </c>
      <c r="F251" s="1" t="s">
        <v>936</v>
      </c>
      <c r="G251" s="1"/>
      <c r="H251" s="1"/>
    </row>
    <row r="252" spans="1:8" x14ac:dyDescent="0.2">
      <c r="A252" s="1" t="s">
        <v>197</v>
      </c>
      <c r="B252" s="1">
        <v>253</v>
      </c>
      <c r="C252" s="1" t="s">
        <v>941</v>
      </c>
      <c r="D252" s="1" t="s">
        <v>942</v>
      </c>
      <c r="E252" s="1" t="s">
        <v>943</v>
      </c>
      <c r="F252" s="1" t="s">
        <v>944</v>
      </c>
      <c r="G252" s="1"/>
      <c r="H252" s="1"/>
    </row>
    <row r="253" spans="1:8" x14ac:dyDescent="0.2">
      <c r="A253" s="1" t="s">
        <v>197</v>
      </c>
      <c r="B253" s="1">
        <v>254</v>
      </c>
      <c r="C253" s="1" t="s">
        <v>945</v>
      </c>
      <c r="D253" s="1" t="s">
        <v>946</v>
      </c>
      <c r="E253" s="1" t="s">
        <v>947</v>
      </c>
      <c r="F253" s="1" t="s">
        <v>948</v>
      </c>
      <c r="G253" s="1"/>
      <c r="H253" s="1"/>
    </row>
    <row r="254" spans="1:8" x14ac:dyDescent="0.2">
      <c r="A254" s="1" t="s">
        <v>197</v>
      </c>
      <c r="B254" s="1">
        <v>255</v>
      </c>
      <c r="C254" s="1" t="s">
        <v>949</v>
      </c>
      <c r="D254" s="1" t="s">
        <v>950</v>
      </c>
      <c r="E254" s="1" t="s">
        <v>951</v>
      </c>
      <c r="F254" s="1" t="s">
        <v>952</v>
      </c>
      <c r="G254" s="1"/>
      <c r="H254" s="1"/>
    </row>
    <row r="255" spans="1:8" x14ac:dyDescent="0.2">
      <c r="A255" s="1" t="s">
        <v>197</v>
      </c>
      <c r="B255" s="1">
        <v>256</v>
      </c>
      <c r="C255" s="1" t="s">
        <v>953</v>
      </c>
      <c r="D255" s="1" t="s">
        <v>954</v>
      </c>
      <c r="E255" s="1"/>
      <c r="F255" s="1" t="s">
        <v>955</v>
      </c>
      <c r="G255" s="3" t="s">
        <v>956</v>
      </c>
      <c r="H255" s="1"/>
    </row>
    <row r="256" spans="1:8" x14ac:dyDescent="0.2">
      <c r="A256" s="1" t="s">
        <v>197</v>
      </c>
      <c r="B256" s="1">
        <v>257</v>
      </c>
      <c r="C256" s="1" t="s">
        <v>957</v>
      </c>
      <c r="D256" s="1" t="s">
        <v>958</v>
      </c>
      <c r="E256" s="1"/>
      <c r="F256" s="1" t="s">
        <v>959</v>
      </c>
      <c r="G256" s="3" t="s">
        <v>960</v>
      </c>
      <c r="H256" s="1"/>
    </row>
    <row r="257" spans="1:8" x14ac:dyDescent="0.2">
      <c r="A257" s="1" t="s">
        <v>197</v>
      </c>
      <c r="B257" s="1">
        <v>258</v>
      </c>
      <c r="C257" s="1" t="s">
        <v>961</v>
      </c>
      <c r="D257" s="1" t="s">
        <v>962</v>
      </c>
      <c r="E257" s="1"/>
      <c r="F257" s="1" t="s">
        <v>963</v>
      </c>
      <c r="G257" s="4" t="s">
        <v>964</v>
      </c>
      <c r="H257" s="1"/>
    </row>
    <row r="258" spans="1:8" x14ac:dyDescent="0.2">
      <c r="A258" s="1" t="s">
        <v>197</v>
      </c>
      <c r="B258" s="1">
        <v>259</v>
      </c>
      <c r="C258" s="1" t="s">
        <v>965</v>
      </c>
      <c r="D258" s="1" t="s">
        <v>966</v>
      </c>
      <c r="E258" s="1"/>
      <c r="F258" s="1" t="s">
        <v>967</v>
      </c>
      <c r="G258" s="4" t="s">
        <v>968</v>
      </c>
      <c r="H258" s="1"/>
    </row>
    <row r="259" spans="1:8" x14ac:dyDescent="0.2">
      <c r="A259" s="1" t="s">
        <v>197</v>
      </c>
      <c r="B259" s="1">
        <v>260</v>
      </c>
      <c r="C259" s="1" t="s">
        <v>969</v>
      </c>
      <c r="D259" s="1" t="s">
        <v>970</v>
      </c>
      <c r="E259" s="1"/>
      <c r="F259" s="1" t="s">
        <v>971</v>
      </c>
      <c r="G259" s="4" t="s">
        <v>972</v>
      </c>
      <c r="H259" s="1"/>
    </row>
    <row r="260" spans="1:8" x14ac:dyDescent="0.2">
      <c r="A260" s="1" t="s">
        <v>197</v>
      </c>
      <c r="B260" s="1">
        <v>261</v>
      </c>
      <c r="C260" s="1" t="s">
        <v>973</v>
      </c>
      <c r="D260" s="1" t="s">
        <v>974</v>
      </c>
      <c r="E260" s="1"/>
      <c r="F260" s="1" t="s">
        <v>975</v>
      </c>
      <c r="G260" s="4" t="s">
        <v>976</v>
      </c>
      <c r="H260" s="1"/>
    </row>
    <row r="261" spans="1:8" x14ac:dyDescent="0.2">
      <c r="A261" s="1" t="s">
        <v>197</v>
      </c>
      <c r="B261" s="1">
        <v>262</v>
      </c>
      <c r="C261" s="1" t="s">
        <v>977</v>
      </c>
      <c r="D261" s="1" t="s">
        <v>978</v>
      </c>
      <c r="E261" s="1"/>
      <c r="F261" s="1" t="s">
        <v>133</v>
      </c>
      <c r="G261" s="4" t="s">
        <v>979</v>
      </c>
      <c r="H261" s="1"/>
    </row>
    <row r="262" spans="1:8" x14ac:dyDescent="0.2">
      <c r="A262" s="1" t="s">
        <v>197</v>
      </c>
      <c r="B262" s="1">
        <v>263</v>
      </c>
      <c r="C262" s="1" t="s">
        <v>980</v>
      </c>
      <c r="D262" s="1" t="s">
        <v>981</v>
      </c>
      <c r="E262" s="1"/>
      <c r="F262" s="1" t="s">
        <v>982</v>
      </c>
      <c r="G262" s="4" t="s">
        <v>983</v>
      </c>
      <c r="H262" s="1"/>
    </row>
    <row r="263" spans="1:8" x14ac:dyDescent="0.2">
      <c r="A263" s="1" t="s">
        <v>197</v>
      </c>
      <c r="B263" s="1">
        <v>264</v>
      </c>
      <c r="C263" s="1" t="s">
        <v>984</v>
      </c>
      <c r="D263" s="1" t="s">
        <v>985</v>
      </c>
      <c r="E263" s="1"/>
      <c r="F263" s="1" t="s">
        <v>986</v>
      </c>
      <c r="G263" s="4" t="s">
        <v>987</v>
      </c>
      <c r="H263" s="1"/>
    </row>
    <row r="264" spans="1:8" x14ac:dyDescent="0.2">
      <c r="A264" s="1" t="s">
        <v>197</v>
      </c>
      <c r="B264" s="1">
        <v>265</v>
      </c>
      <c r="C264" s="1" t="s">
        <v>988</v>
      </c>
      <c r="D264" s="1" t="s">
        <v>989</v>
      </c>
      <c r="E264" s="1"/>
      <c r="F264" s="1" t="s">
        <v>133</v>
      </c>
      <c r="G264" s="4" t="s">
        <v>990</v>
      </c>
      <c r="H264" s="1"/>
    </row>
    <row r="265" spans="1:8" x14ac:dyDescent="0.2">
      <c r="A265" s="1" t="s">
        <v>197</v>
      </c>
      <c r="B265" s="1">
        <v>266</v>
      </c>
      <c r="C265" s="1" t="s">
        <v>991</v>
      </c>
      <c r="D265" s="1" t="s">
        <v>992</v>
      </c>
      <c r="E265" s="1"/>
      <c r="F265" s="1" t="s">
        <v>993</v>
      </c>
      <c r="G265" s="4" t="s">
        <v>994</v>
      </c>
      <c r="H265" s="1"/>
    </row>
    <row r="266" spans="1:8" x14ac:dyDescent="0.2">
      <c r="A266" s="1" t="s">
        <v>197</v>
      </c>
      <c r="B266" s="1">
        <v>267</v>
      </c>
      <c r="C266" s="1" t="s">
        <v>995</v>
      </c>
      <c r="D266" s="1" t="s">
        <v>996</v>
      </c>
      <c r="E266" s="1"/>
      <c r="F266" s="1" t="s">
        <v>997</v>
      </c>
      <c r="G266" s="4" t="s">
        <v>994</v>
      </c>
      <c r="H266" s="1"/>
    </row>
    <row r="267" spans="1:8" x14ac:dyDescent="0.2">
      <c r="A267" s="1" t="s">
        <v>197</v>
      </c>
      <c r="B267" s="1">
        <v>268</v>
      </c>
      <c r="C267" s="1" t="s">
        <v>998</v>
      </c>
      <c r="D267" s="1" t="s">
        <v>999</v>
      </c>
      <c r="E267" s="1"/>
      <c r="F267" s="1" t="s">
        <v>1000</v>
      </c>
      <c r="G267" s="4" t="s">
        <v>994</v>
      </c>
      <c r="H267" s="1"/>
    </row>
    <row r="268" spans="1:8" x14ac:dyDescent="0.2">
      <c r="A268" s="1" t="s">
        <v>197</v>
      </c>
      <c r="B268" s="1">
        <v>269</v>
      </c>
      <c r="C268" s="1" t="s">
        <v>1001</v>
      </c>
      <c r="D268" s="1" t="s">
        <v>1002</v>
      </c>
      <c r="E268" s="1"/>
      <c r="F268" s="1" t="s">
        <v>1003</v>
      </c>
      <c r="G268" s="4" t="s">
        <v>994</v>
      </c>
      <c r="H268" s="1"/>
    </row>
    <row r="269" spans="1:8" x14ac:dyDescent="0.2">
      <c r="A269" s="1" t="s">
        <v>197</v>
      </c>
      <c r="B269" s="1">
        <v>270</v>
      </c>
      <c r="C269" s="1" t="s">
        <v>1004</v>
      </c>
      <c r="D269" s="1" t="s">
        <v>1005</v>
      </c>
      <c r="E269" s="1"/>
      <c r="F269" s="1" t="s">
        <v>1006</v>
      </c>
      <c r="G269" s="4" t="s">
        <v>1007</v>
      </c>
      <c r="H269" s="1"/>
    </row>
    <row r="270" spans="1:8" x14ac:dyDescent="0.2">
      <c r="A270" s="1" t="s">
        <v>197</v>
      </c>
      <c r="B270" s="1">
        <v>271</v>
      </c>
      <c r="C270" s="1" t="s">
        <v>1008</v>
      </c>
      <c r="D270" s="1" t="s">
        <v>1009</v>
      </c>
      <c r="E270" s="1"/>
      <c r="F270" s="1" t="s">
        <v>1010</v>
      </c>
      <c r="G270" s="4" t="s">
        <v>1011</v>
      </c>
      <c r="H270" s="1"/>
    </row>
    <row r="271" spans="1:8" x14ac:dyDescent="0.2">
      <c r="A271" s="1" t="s">
        <v>197</v>
      </c>
      <c r="B271" s="1">
        <v>272</v>
      </c>
      <c r="C271" s="1" t="s">
        <v>1012</v>
      </c>
      <c r="D271" s="1" t="s">
        <v>1013</v>
      </c>
      <c r="E271" s="1"/>
      <c r="F271" s="1" t="s">
        <v>1014</v>
      </c>
      <c r="G271" s="4" t="s">
        <v>1011</v>
      </c>
      <c r="H271" s="1"/>
    </row>
    <row r="272" spans="1:8" x14ac:dyDescent="0.2">
      <c r="A272" s="1" t="s">
        <v>197</v>
      </c>
      <c r="B272" s="1">
        <v>273</v>
      </c>
      <c r="C272" s="1" t="s">
        <v>1015</v>
      </c>
      <c r="D272" s="1" t="s">
        <v>1016</v>
      </c>
      <c r="E272" s="1"/>
      <c r="F272" s="1" t="s">
        <v>1017</v>
      </c>
      <c r="G272" s="4" t="s">
        <v>1018</v>
      </c>
      <c r="H272" s="1"/>
    </row>
    <row r="273" spans="1:8" x14ac:dyDescent="0.2">
      <c r="A273" s="1" t="s">
        <v>197</v>
      </c>
      <c r="B273" s="1">
        <v>274</v>
      </c>
      <c r="C273" s="1" t="s">
        <v>1019</v>
      </c>
      <c r="D273" s="1" t="s">
        <v>1020</v>
      </c>
      <c r="E273" s="1"/>
      <c r="F273" s="1" t="s">
        <v>1021</v>
      </c>
      <c r="G273" s="4" t="s">
        <v>1018</v>
      </c>
      <c r="H273" s="1"/>
    </row>
    <row r="274" spans="1:8" x14ac:dyDescent="0.2">
      <c r="A274" s="1" t="s">
        <v>197</v>
      </c>
      <c r="B274" s="1">
        <v>275</v>
      </c>
      <c r="C274" s="1" t="s">
        <v>1022</v>
      </c>
      <c r="D274" s="1" t="s">
        <v>1023</v>
      </c>
      <c r="E274" s="1"/>
      <c r="F274" s="1" t="s">
        <v>1024</v>
      </c>
      <c r="G274" s="4" t="s">
        <v>1018</v>
      </c>
      <c r="H274" s="1"/>
    </row>
    <row r="275" spans="1:8" x14ac:dyDescent="0.2">
      <c r="A275" s="1" t="s">
        <v>197</v>
      </c>
      <c r="B275" s="1">
        <v>276</v>
      </c>
      <c r="C275" s="1" t="s">
        <v>1025</v>
      </c>
      <c r="D275" s="1" t="s">
        <v>1026</v>
      </c>
      <c r="E275" s="1"/>
      <c r="F275" s="1" t="s">
        <v>1027</v>
      </c>
      <c r="G275" s="4" t="s">
        <v>1028</v>
      </c>
      <c r="H275" s="1"/>
    </row>
    <row r="276" spans="1:8" x14ac:dyDescent="0.2">
      <c r="A276" s="1" t="s">
        <v>197</v>
      </c>
      <c r="B276" s="1">
        <v>277</v>
      </c>
      <c r="C276" s="1" t="s">
        <v>1029</v>
      </c>
      <c r="D276" s="1" t="s">
        <v>1030</v>
      </c>
      <c r="E276" s="1"/>
      <c r="F276" s="1" t="s">
        <v>1031</v>
      </c>
      <c r="G276" s="4" t="s">
        <v>1028</v>
      </c>
      <c r="H276" s="1"/>
    </row>
    <row r="277" spans="1:8" x14ac:dyDescent="0.2">
      <c r="A277" s="1" t="s">
        <v>197</v>
      </c>
      <c r="B277" s="1">
        <v>278</v>
      </c>
      <c r="C277" s="1" t="s">
        <v>1032</v>
      </c>
      <c r="D277" s="1" t="s">
        <v>1033</v>
      </c>
      <c r="E277" s="1"/>
      <c r="F277" s="1" t="s">
        <v>1034</v>
      </c>
      <c r="G277" s="4" t="s">
        <v>1035</v>
      </c>
      <c r="H277" s="1"/>
    </row>
    <row r="278" spans="1:8" x14ac:dyDescent="0.2">
      <c r="A278" s="1" t="s">
        <v>197</v>
      </c>
      <c r="B278" s="1">
        <v>279</v>
      </c>
      <c r="C278" s="1" t="s">
        <v>1036</v>
      </c>
      <c r="D278" s="1" t="s">
        <v>1037</v>
      </c>
      <c r="E278" s="1"/>
      <c r="F278" s="1" t="s">
        <v>1038</v>
      </c>
      <c r="G278" s="4" t="s">
        <v>1039</v>
      </c>
      <c r="H278" s="1"/>
    </row>
    <row r="279" spans="1:8" x14ac:dyDescent="0.2">
      <c r="A279" s="1" t="s">
        <v>197</v>
      </c>
      <c r="B279" s="1">
        <v>280</v>
      </c>
      <c r="C279" s="1" t="s">
        <v>1040</v>
      </c>
      <c r="D279" s="1" t="s">
        <v>1041</v>
      </c>
      <c r="E279" s="1"/>
      <c r="F279" s="1" t="s">
        <v>1042</v>
      </c>
      <c r="G279" s="4" t="s">
        <v>1043</v>
      </c>
      <c r="H279" s="1"/>
    </row>
    <row r="280" spans="1:8" x14ac:dyDescent="0.2">
      <c r="A280" s="1" t="s">
        <v>197</v>
      </c>
      <c r="B280" s="1">
        <v>281</v>
      </c>
      <c r="C280" s="1" t="s">
        <v>1044</v>
      </c>
      <c r="D280" s="1" t="s">
        <v>1045</v>
      </c>
      <c r="E280" s="1"/>
      <c r="F280" s="1" t="s">
        <v>1046</v>
      </c>
      <c r="G280" s="4" t="s">
        <v>1047</v>
      </c>
      <c r="H280" s="1"/>
    </row>
    <row r="281" spans="1:8" x14ac:dyDescent="0.2">
      <c r="A281" s="1" t="s">
        <v>197</v>
      </c>
      <c r="B281" s="1">
        <v>282</v>
      </c>
      <c r="C281" s="1" t="s">
        <v>1048</v>
      </c>
      <c r="D281" s="1" t="s">
        <v>1049</v>
      </c>
      <c r="E281" s="1"/>
      <c r="F281" s="1" t="s">
        <v>1050</v>
      </c>
      <c r="G281" s="4" t="s">
        <v>1047</v>
      </c>
      <c r="H281" s="1"/>
    </row>
    <row r="282" spans="1:8" x14ac:dyDescent="0.2">
      <c r="A282" s="1" t="s">
        <v>197</v>
      </c>
      <c r="B282" s="1">
        <v>283</v>
      </c>
      <c r="C282" s="1" t="s">
        <v>1051</v>
      </c>
      <c r="D282" s="1" t="s">
        <v>1052</v>
      </c>
      <c r="E282" s="1"/>
      <c r="F282" s="1" t="s">
        <v>1053</v>
      </c>
      <c r="G282" s="4" t="s">
        <v>1054</v>
      </c>
      <c r="H282" s="1"/>
    </row>
    <row r="283" spans="1:8" x14ac:dyDescent="0.2">
      <c r="A283" s="1" t="s">
        <v>197</v>
      </c>
      <c r="B283" s="1">
        <v>284</v>
      </c>
      <c r="C283" s="1" t="s">
        <v>1055</v>
      </c>
      <c r="D283" s="1" t="s">
        <v>1056</v>
      </c>
      <c r="E283" s="1"/>
      <c r="F283" s="1" t="s">
        <v>1057</v>
      </c>
      <c r="G283" s="4" t="s">
        <v>1058</v>
      </c>
      <c r="H283" s="1"/>
    </row>
    <row r="284" spans="1:8" x14ac:dyDescent="0.2">
      <c r="A284" s="1" t="s">
        <v>197</v>
      </c>
      <c r="B284" s="1">
        <v>285</v>
      </c>
      <c r="C284" s="1" t="s">
        <v>1059</v>
      </c>
      <c r="D284" s="1" t="s">
        <v>1060</v>
      </c>
      <c r="E284" s="1"/>
      <c r="F284" s="1" t="s">
        <v>1061</v>
      </c>
      <c r="G284" s="4" t="s">
        <v>1058</v>
      </c>
      <c r="H284" s="1"/>
    </row>
    <row r="285" spans="1:8" x14ac:dyDescent="0.2">
      <c r="A285" s="1" t="s">
        <v>197</v>
      </c>
      <c r="B285" s="1">
        <v>286</v>
      </c>
      <c r="C285" s="1" t="s">
        <v>1062</v>
      </c>
      <c r="D285" s="1" t="s">
        <v>1063</v>
      </c>
      <c r="E285" s="1"/>
      <c r="F285" s="1" t="s">
        <v>1050</v>
      </c>
      <c r="G285" s="4" t="s">
        <v>1064</v>
      </c>
      <c r="H285" s="1"/>
    </row>
    <row r="286" spans="1:8" x14ac:dyDescent="0.2">
      <c r="A286" s="1" t="s">
        <v>197</v>
      </c>
      <c r="B286" s="1">
        <v>287</v>
      </c>
      <c r="C286" s="1" t="s">
        <v>1065</v>
      </c>
      <c r="D286" s="1" t="s">
        <v>1066</v>
      </c>
      <c r="E286" s="1"/>
      <c r="F286" s="1" t="s">
        <v>1067</v>
      </c>
      <c r="G286" s="4" t="s">
        <v>1068</v>
      </c>
      <c r="H286" s="1"/>
    </row>
    <row r="287" spans="1:8" x14ac:dyDescent="0.2">
      <c r="A287" s="1" t="s">
        <v>197</v>
      </c>
      <c r="B287" s="1">
        <v>288</v>
      </c>
      <c r="C287" s="1" t="s">
        <v>1069</v>
      </c>
      <c r="D287" s="1" t="s">
        <v>1070</v>
      </c>
      <c r="E287" s="1"/>
      <c r="F287" s="1" t="s">
        <v>1071</v>
      </c>
      <c r="G287" s="4" t="s">
        <v>1068</v>
      </c>
      <c r="H287" s="1"/>
    </row>
    <row r="288" spans="1:8" x14ac:dyDescent="0.2">
      <c r="A288" s="1" t="s">
        <v>197</v>
      </c>
      <c r="B288" s="1">
        <v>289</v>
      </c>
      <c r="C288" s="1" t="s">
        <v>1072</v>
      </c>
      <c r="D288" s="1" t="s">
        <v>1073</v>
      </c>
      <c r="E288" s="1"/>
      <c r="F288" s="1" t="s">
        <v>1074</v>
      </c>
      <c r="G288" s="4" t="s">
        <v>1068</v>
      </c>
      <c r="H288" s="1"/>
    </row>
    <row r="289" spans="1:8" x14ac:dyDescent="0.2">
      <c r="A289" s="1" t="s">
        <v>197</v>
      </c>
      <c r="B289" s="1">
        <v>290</v>
      </c>
      <c r="C289" s="1" t="s">
        <v>1075</v>
      </c>
      <c r="D289" s="1" t="s">
        <v>1076</v>
      </c>
      <c r="E289" s="1"/>
      <c r="F289" s="1" t="s">
        <v>1077</v>
      </c>
      <c r="G289" s="4" t="s">
        <v>1078</v>
      </c>
      <c r="H289" s="1"/>
    </row>
    <row r="290" spans="1:8" x14ac:dyDescent="0.2">
      <c r="A290" s="1" t="s">
        <v>197</v>
      </c>
      <c r="B290" s="1">
        <v>291</v>
      </c>
      <c r="C290" s="1" t="s">
        <v>1079</v>
      </c>
      <c r="D290" s="1" t="s">
        <v>1080</v>
      </c>
      <c r="E290" s="1"/>
      <c r="F290" s="1" t="s">
        <v>1081</v>
      </c>
      <c r="G290" s="4" t="s">
        <v>1082</v>
      </c>
      <c r="H290" s="1"/>
    </row>
    <row r="291" spans="1:8" x14ac:dyDescent="0.2">
      <c r="A291" s="1" t="s">
        <v>197</v>
      </c>
      <c r="B291" s="1">
        <v>292</v>
      </c>
      <c r="C291" s="1" t="s">
        <v>1083</v>
      </c>
      <c r="D291" s="1" t="s">
        <v>1084</v>
      </c>
      <c r="E291" s="1"/>
      <c r="F291" s="1" t="s">
        <v>1085</v>
      </c>
      <c r="G291" s="4" t="s">
        <v>1086</v>
      </c>
      <c r="H291" s="1"/>
    </row>
    <row r="292" spans="1:8" x14ac:dyDescent="0.2">
      <c r="A292" s="1" t="s">
        <v>197</v>
      </c>
      <c r="B292" s="1">
        <v>293</v>
      </c>
      <c r="C292" s="1" t="s">
        <v>1087</v>
      </c>
      <c r="D292" s="1" t="s">
        <v>1088</v>
      </c>
      <c r="E292" s="1"/>
      <c r="F292" s="1" t="s">
        <v>1089</v>
      </c>
      <c r="G292" s="5" t="s">
        <v>1090</v>
      </c>
      <c r="H292" s="1"/>
    </row>
    <row r="293" spans="1:8" x14ac:dyDescent="0.2">
      <c r="A293" s="1" t="s">
        <v>197</v>
      </c>
      <c r="B293" s="1">
        <v>294</v>
      </c>
      <c r="C293" s="1" t="s">
        <v>1091</v>
      </c>
      <c r="D293" s="1" t="s">
        <v>1092</v>
      </c>
      <c r="E293" s="1"/>
      <c r="F293" s="1" t="s">
        <v>1093</v>
      </c>
      <c r="G293" s="5" t="s">
        <v>1090</v>
      </c>
      <c r="H293" s="1"/>
    </row>
    <row r="294" spans="1:8" x14ac:dyDescent="0.2">
      <c r="A294" s="1" t="s">
        <v>197</v>
      </c>
      <c r="B294" s="1">
        <v>295</v>
      </c>
      <c r="C294" s="1" t="s">
        <v>1094</v>
      </c>
      <c r="D294" s="1" t="s">
        <v>1095</v>
      </c>
      <c r="E294" s="1"/>
      <c r="F294" s="1" t="s">
        <v>1096</v>
      </c>
      <c r="G294" s="5" t="s">
        <v>1090</v>
      </c>
      <c r="H294" s="1"/>
    </row>
    <row r="295" spans="1:8" x14ac:dyDescent="0.2">
      <c r="A295" s="1" t="s">
        <v>197</v>
      </c>
      <c r="B295" s="1">
        <v>296</v>
      </c>
      <c r="C295" s="1" t="s">
        <v>1097</v>
      </c>
      <c r="D295" s="1" t="s">
        <v>1098</v>
      </c>
      <c r="E295" s="1"/>
      <c r="F295" s="1" t="s">
        <v>1099</v>
      </c>
      <c r="G295" s="5" t="s">
        <v>1090</v>
      </c>
      <c r="H295" s="1"/>
    </row>
    <row r="296" spans="1:8" x14ac:dyDescent="0.2">
      <c r="A296" s="1" t="s">
        <v>197</v>
      </c>
      <c r="B296" s="1">
        <v>297</v>
      </c>
      <c r="C296" s="1" t="s">
        <v>1100</v>
      </c>
      <c r="D296" s="1" t="s">
        <v>1101</v>
      </c>
      <c r="E296" s="1"/>
      <c r="F296" s="1" t="s">
        <v>1102</v>
      </c>
      <c r="G296" s="5" t="s">
        <v>1090</v>
      </c>
      <c r="H296" s="1"/>
    </row>
    <row r="297" spans="1:8" x14ac:dyDescent="0.2">
      <c r="A297" s="1" t="s">
        <v>197</v>
      </c>
      <c r="B297" s="1">
        <v>298</v>
      </c>
      <c r="C297" s="1" t="s">
        <v>1103</v>
      </c>
      <c r="D297" s="1" t="s">
        <v>1104</v>
      </c>
      <c r="E297" s="1"/>
      <c r="F297" s="1" t="s">
        <v>1105</v>
      </c>
      <c r="G297" s="5" t="s">
        <v>1090</v>
      </c>
      <c r="H297" s="1"/>
    </row>
    <row r="298" spans="1:8" x14ac:dyDescent="0.2">
      <c r="A298" s="1" t="s">
        <v>197</v>
      </c>
      <c r="B298" s="1">
        <v>299</v>
      </c>
      <c r="C298" s="1" t="s">
        <v>1106</v>
      </c>
      <c r="D298" s="1" t="s">
        <v>1107</v>
      </c>
      <c r="E298" s="1"/>
      <c r="F298" s="6" t="s">
        <v>1108</v>
      </c>
      <c r="G298" s="5" t="s">
        <v>1090</v>
      </c>
      <c r="H298" s="1"/>
    </row>
    <row r="299" spans="1:8" x14ac:dyDescent="0.2">
      <c r="A299" s="1" t="s">
        <v>197</v>
      </c>
      <c r="B299" s="1">
        <v>300</v>
      </c>
      <c r="C299" s="1" t="s">
        <v>1109</v>
      </c>
      <c r="D299" s="1" t="s">
        <v>1110</v>
      </c>
      <c r="E299" s="1"/>
      <c r="F299" s="1" t="s">
        <v>1111</v>
      </c>
      <c r="G299" s="5" t="s">
        <v>1090</v>
      </c>
      <c r="H299" s="1"/>
    </row>
    <row r="300" spans="1:8" x14ac:dyDescent="0.2">
      <c r="A300" s="1" t="s">
        <v>197</v>
      </c>
      <c r="B300" s="1">
        <v>301</v>
      </c>
      <c r="C300" s="1" t="s">
        <v>1112</v>
      </c>
      <c r="D300" s="1" t="s">
        <v>1113</v>
      </c>
      <c r="E300" s="1"/>
      <c r="F300" s="1" t="s">
        <v>1114</v>
      </c>
      <c r="G300" s="5" t="s">
        <v>1090</v>
      </c>
      <c r="H300" s="1"/>
    </row>
    <row r="301" spans="1:8" x14ac:dyDescent="0.2">
      <c r="A301" s="1" t="s">
        <v>197</v>
      </c>
      <c r="B301" s="1">
        <v>302</v>
      </c>
      <c r="C301" s="1" t="s">
        <v>1115</v>
      </c>
      <c r="D301" s="1" t="s">
        <v>1116</v>
      </c>
      <c r="E301" s="1"/>
      <c r="F301" s="1" t="s">
        <v>1117</v>
      </c>
      <c r="G301" s="5" t="s">
        <v>1090</v>
      </c>
      <c r="H301" s="1"/>
    </row>
    <row r="302" spans="1:8" x14ac:dyDescent="0.2">
      <c r="A302" s="1" t="s">
        <v>197</v>
      </c>
      <c r="B302" s="1">
        <v>303</v>
      </c>
      <c r="C302" s="1" t="s">
        <v>1118</v>
      </c>
      <c r="D302" s="1" t="s">
        <v>1119</v>
      </c>
      <c r="E302" s="1"/>
      <c r="F302" s="1" t="s">
        <v>133</v>
      </c>
      <c r="G302" s="5" t="s">
        <v>1090</v>
      </c>
      <c r="H302" s="1"/>
    </row>
    <row r="303" spans="1:8" x14ac:dyDescent="0.2">
      <c r="A303" s="1" t="s">
        <v>197</v>
      </c>
      <c r="B303" s="1">
        <v>304</v>
      </c>
      <c r="C303" s="1" t="s">
        <v>1120</v>
      </c>
      <c r="D303" s="1" t="s">
        <v>1121</v>
      </c>
      <c r="E303" s="1"/>
      <c r="F303" s="1" t="s">
        <v>1122</v>
      </c>
      <c r="G303" s="5" t="s">
        <v>1090</v>
      </c>
      <c r="H303" s="1"/>
    </row>
    <row r="304" spans="1:8" x14ac:dyDescent="0.2">
      <c r="A304" s="1" t="s">
        <v>197</v>
      </c>
      <c r="B304" s="1">
        <v>305</v>
      </c>
      <c r="C304" s="1" t="s">
        <v>1123</v>
      </c>
      <c r="D304" s="1" t="s">
        <v>1124</v>
      </c>
      <c r="E304" s="1"/>
      <c r="F304" s="1" t="s">
        <v>1125</v>
      </c>
      <c r="G304" s="5" t="s">
        <v>1090</v>
      </c>
      <c r="H304" s="1"/>
    </row>
    <row r="305" spans="1:8" x14ac:dyDescent="0.2">
      <c r="A305" s="1" t="s">
        <v>197</v>
      </c>
      <c r="B305" s="1">
        <v>306</v>
      </c>
      <c r="C305" s="1" t="s">
        <v>1126</v>
      </c>
      <c r="D305" s="1" t="s">
        <v>1127</v>
      </c>
      <c r="E305" s="1"/>
      <c r="F305" s="1" t="s">
        <v>1128</v>
      </c>
      <c r="G305" s="5" t="s">
        <v>1090</v>
      </c>
      <c r="H305" s="1"/>
    </row>
    <row r="306" spans="1:8" x14ac:dyDescent="0.2">
      <c r="A306" s="1" t="s">
        <v>197</v>
      </c>
      <c r="B306" s="1">
        <v>307</v>
      </c>
      <c r="C306" s="1" t="s">
        <v>1129</v>
      </c>
      <c r="D306" s="1" t="s">
        <v>1130</v>
      </c>
      <c r="E306" s="1"/>
      <c r="F306" s="1" t="s">
        <v>1131</v>
      </c>
      <c r="G306" s="5" t="s">
        <v>1090</v>
      </c>
      <c r="H306" s="1"/>
    </row>
    <row r="307" spans="1:8" x14ac:dyDescent="0.2">
      <c r="A307" s="1" t="s">
        <v>197</v>
      </c>
      <c r="B307" s="1">
        <v>308</v>
      </c>
      <c r="C307" s="1" t="s">
        <v>1132</v>
      </c>
      <c r="D307" s="1" t="s">
        <v>1133</v>
      </c>
      <c r="E307" s="1"/>
      <c r="F307" s="1" t="s">
        <v>1134</v>
      </c>
      <c r="G307" s="5" t="s">
        <v>1090</v>
      </c>
      <c r="H307" s="1"/>
    </row>
    <row r="308" spans="1:8" x14ac:dyDescent="0.2">
      <c r="A308" s="1" t="s">
        <v>197</v>
      </c>
      <c r="B308" s="1">
        <v>309</v>
      </c>
      <c r="C308" s="1" t="s">
        <v>1135</v>
      </c>
      <c r="D308" s="1" t="s">
        <v>1136</v>
      </c>
      <c r="E308" s="1"/>
      <c r="F308" s="1" t="s">
        <v>982</v>
      </c>
      <c r="G308" s="5" t="s">
        <v>1090</v>
      </c>
      <c r="H308" s="1"/>
    </row>
    <row r="309" spans="1:8" x14ac:dyDescent="0.2">
      <c r="A309" s="1" t="s">
        <v>197</v>
      </c>
      <c r="B309" s="1">
        <v>310</v>
      </c>
      <c r="C309" s="1" t="s">
        <v>1137</v>
      </c>
      <c r="D309" s="1" t="s">
        <v>1138</v>
      </c>
      <c r="E309" s="1"/>
      <c r="F309" s="1" t="s">
        <v>1139</v>
      </c>
      <c r="G309" s="5" t="s">
        <v>1090</v>
      </c>
      <c r="H309" s="1"/>
    </row>
    <row r="310" spans="1:8" x14ac:dyDescent="0.2">
      <c r="A310" s="1" t="s">
        <v>197</v>
      </c>
      <c r="B310" s="1">
        <v>311</v>
      </c>
      <c r="C310" s="1" t="s">
        <v>1140</v>
      </c>
      <c r="D310" s="1" t="s">
        <v>1141</v>
      </c>
      <c r="E310" s="1"/>
      <c r="F310" s="1" t="s">
        <v>1142</v>
      </c>
      <c r="G310" s="5" t="s">
        <v>1090</v>
      </c>
      <c r="H310" s="1"/>
    </row>
    <row r="311" spans="1:8" x14ac:dyDescent="0.2">
      <c r="A311" s="1" t="s">
        <v>197</v>
      </c>
      <c r="B311" s="1">
        <v>312</v>
      </c>
      <c r="C311" s="1" t="s">
        <v>1143</v>
      </c>
      <c r="D311" s="1" t="s">
        <v>1144</v>
      </c>
      <c r="E311" s="1"/>
      <c r="F311" s="1" t="s">
        <v>1145</v>
      </c>
      <c r="G311" s="5" t="s">
        <v>1090</v>
      </c>
      <c r="H311" s="1"/>
    </row>
    <row r="312" spans="1:8" x14ac:dyDescent="0.2">
      <c r="A312" s="1" t="s">
        <v>197</v>
      </c>
      <c r="B312" s="1">
        <v>313</v>
      </c>
      <c r="C312" s="1" t="s">
        <v>1146</v>
      </c>
      <c r="D312" s="1" t="s">
        <v>1147</v>
      </c>
      <c r="E312" s="1"/>
      <c r="F312" s="1" t="s">
        <v>1148</v>
      </c>
      <c r="G312" s="5" t="s">
        <v>1090</v>
      </c>
      <c r="H312" s="1"/>
    </row>
    <row r="313" spans="1:8" x14ac:dyDescent="0.2">
      <c r="A313" s="1" t="s">
        <v>197</v>
      </c>
      <c r="B313" s="1">
        <v>314</v>
      </c>
      <c r="C313" s="1" t="s">
        <v>1149</v>
      </c>
      <c r="D313" s="1" t="s">
        <v>1150</v>
      </c>
      <c r="E313" s="1"/>
      <c r="F313" s="1" t="s">
        <v>1151</v>
      </c>
      <c r="G313" s="5" t="s">
        <v>1090</v>
      </c>
      <c r="H313" s="1"/>
    </row>
    <row r="314" spans="1:8" x14ac:dyDescent="0.2">
      <c r="A314" s="1" t="s">
        <v>197</v>
      </c>
      <c r="B314" s="1">
        <v>315</v>
      </c>
      <c r="C314" s="1" t="s">
        <v>1152</v>
      </c>
      <c r="D314" s="1" t="s">
        <v>1153</v>
      </c>
      <c r="E314" s="1"/>
      <c r="F314" s="1" t="s">
        <v>1154</v>
      </c>
      <c r="G314" s="5" t="s">
        <v>1090</v>
      </c>
      <c r="H314" s="1"/>
    </row>
    <row r="315" spans="1:8" x14ac:dyDescent="0.2">
      <c r="A315" s="1" t="s">
        <v>197</v>
      </c>
      <c r="B315" s="1">
        <v>316</v>
      </c>
      <c r="C315" s="1" t="s">
        <v>1155</v>
      </c>
      <c r="D315" s="1" t="s">
        <v>1156</v>
      </c>
      <c r="E315" s="1"/>
      <c r="F315" s="1" t="s">
        <v>1157</v>
      </c>
      <c r="G315" s="4" t="s">
        <v>1082</v>
      </c>
      <c r="H315" s="1"/>
    </row>
    <row r="316" spans="1:8" x14ac:dyDescent="0.2">
      <c r="A316" s="1" t="s">
        <v>197</v>
      </c>
      <c r="B316" s="1">
        <v>317</v>
      </c>
      <c r="C316" s="1" t="s">
        <v>1158</v>
      </c>
      <c r="D316" s="1" t="s">
        <v>1159</v>
      </c>
      <c r="E316" s="1"/>
      <c r="F316" s="1" t="s">
        <v>88</v>
      </c>
      <c r="G316" s="4" t="s">
        <v>1160</v>
      </c>
      <c r="H316" s="1"/>
    </row>
    <row r="317" spans="1:8" x14ac:dyDescent="0.2">
      <c r="A317" s="1" t="s">
        <v>197</v>
      </c>
      <c r="B317" s="1">
        <v>318</v>
      </c>
      <c r="C317" s="1" t="s">
        <v>1161</v>
      </c>
      <c r="D317" s="1" t="s">
        <v>1162</v>
      </c>
      <c r="E317" s="1"/>
      <c r="F317" s="1" t="s">
        <v>1163</v>
      </c>
      <c r="G317" s="4" t="s">
        <v>1164</v>
      </c>
      <c r="H317" s="1"/>
    </row>
    <row r="318" spans="1:8" x14ac:dyDescent="0.2">
      <c r="A318" s="1" t="s">
        <v>197</v>
      </c>
      <c r="B318" s="1">
        <v>319</v>
      </c>
      <c r="C318" s="1" t="s">
        <v>1165</v>
      </c>
      <c r="D318" s="1" t="s">
        <v>1166</v>
      </c>
      <c r="E318" s="1"/>
      <c r="F318" s="1" t="s">
        <v>1167</v>
      </c>
      <c r="G318" s="4" t="s">
        <v>1168</v>
      </c>
      <c r="H318" s="1"/>
    </row>
    <row r="319" spans="1:8" x14ac:dyDescent="0.2">
      <c r="A319" s="1" t="s">
        <v>197</v>
      </c>
      <c r="B319" s="1">
        <v>320</v>
      </c>
      <c r="C319" s="1" t="s">
        <v>1169</v>
      </c>
      <c r="D319" s="1" t="s">
        <v>1170</v>
      </c>
      <c r="E319" s="1"/>
      <c r="F319" s="1" t="s">
        <v>1171</v>
      </c>
      <c r="G319" s="4" t="s">
        <v>1172</v>
      </c>
      <c r="H319" s="1"/>
    </row>
    <row r="320" spans="1:8" x14ac:dyDescent="0.2">
      <c r="A320" s="1" t="s">
        <v>197</v>
      </c>
      <c r="B320" s="1">
        <v>321</v>
      </c>
      <c r="C320" s="1" t="s">
        <v>1173</v>
      </c>
      <c r="D320" s="1" t="s">
        <v>1174</v>
      </c>
      <c r="E320" s="1" t="s">
        <v>1175</v>
      </c>
      <c r="F320" s="1" t="s">
        <v>1176</v>
      </c>
      <c r="G320" s="1"/>
      <c r="H320" s="1"/>
    </row>
    <row r="321" spans="1:8" x14ac:dyDescent="0.2">
      <c r="A321" s="1" t="s">
        <v>197</v>
      </c>
      <c r="B321" s="1">
        <v>322</v>
      </c>
      <c r="C321" s="1" t="s">
        <v>1177</v>
      </c>
      <c r="D321" s="1" t="s">
        <v>1178</v>
      </c>
      <c r="E321" s="1" t="s">
        <v>1175</v>
      </c>
      <c r="F321" s="1" t="s">
        <v>1176</v>
      </c>
      <c r="G321" s="1"/>
      <c r="H321" s="1"/>
    </row>
    <row r="322" spans="1:8" x14ac:dyDescent="0.2">
      <c r="A322" s="1" t="s">
        <v>197</v>
      </c>
      <c r="B322" s="1">
        <v>323</v>
      </c>
      <c r="C322" s="1" t="s">
        <v>1179</v>
      </c>
      <c r="D322" s="1" t="s">
        <v>1180</v>
      </c>
      <c r="E322" s="1" t="s">
        <v>1181</v>
      </c>
      <c r="F322" s="1" t="s">
        <v>1182</v>
      </c>
      <c r="G322" s="1"/>
      <c r="H322" s="1"/>
    </row>
    <row r="323" spans="1:8" x14ac:dyDescent="0.2">
      <c r="A323" s="1" t="s">
        <v>197</v>
      </c>
      <c r="B323" s="1">
        <v>324</v>
      </c>
      <c r="C323" s="1" t="s">
        <v>1183</v>
      </c>
      <c r="D323" s="1" t="s">
        <v>1184</v>
      </c>
      <c r="E323" s="1" t="s">
        <v>1185</v>
      </c>
      <c r="F323" s="1" t="s">
        <v>1186</v>
      </c>
      <c r="G323" s="1"/>
      <c r="H323" s="1"/>
    </row>
    <row r="324" spans="1:8" x14ac:dyDescent="0.2">
      <c r="A324" s="1" t="s">
        <v>197</v>
      </c>
      <c r="B324" s="1">
        <v>325</v>
      </c>
      <c r="C324" s="1" t="s">
        <v>1187</v>
      </c>
      <c r="D324" s="1" t="s">
        <v>1188</v>
      </c>
      <c r="E324" s="1" t="s">
        <v>1185</v>
      </c>
      <c r="F324" s="1" t="s">
        <v>1186</v>
      </c>
      <c r="G324" s="1"/>
      <c r="H324" s="1"/>
    </row>
    <row r="325" spans="1:8" x14ac:dyDescent="0.2">
      <c r="A325" s="1" t="s">
        <v>197</v>
      </c>
      <c r="B325" s="1">
        <v>326</v>
      </c>
      <c r="C325" s="1" t="s">
        <v>1189</v>
      </c>
      <c r="D325" s="1" t="s">
        <v>1190</v>
      </c>
      <c r="E325" s="1"/>
      <c r="F325" s="1" t="s">
        <v>1191</v>
      </c>
      <c r="G325" s="4" t="s">
        <v>1192</v>
      </c>
      <c r="H325" s="1"/>
    </row>
    <row r="326" spans="1:8" x14ac:dyDescent="0.2">
      <c r="A326" s="1" t="s">
        <v>197</v>
      </c>
      <c r="B326" s="1">
        <v>327</v>
      </c>
      <c r="C326" s="1" t="s">
        <v>1193</v>
      </c>
      <c r="D326" s="1" t="s">
        <v>1194</v>
      </c>
      <c r="E326" s="1"/>
      <c r="F326" s="1" t="s">
        <v>1195</v>
      </c>
      <c r="G326" s="4" t="s">
        <v>1192</v>
      </c>
      <c r="H326" s="1"/>
    </row>
    <row r="327" spans="1:8" x14ac:dyDescent="0.2">
      <c r="A327" s="1" t="s">
        <v>197</v>
      </c>
      <c r="B327" s="1">
        <v>328</v>
      </c>
      <c r="C327" s="1" t="s">
        <v>1196</v>
      </c>
      <c r="D327" s="1" t="s">
        <v>1197</v>
      </c>
      <c r="E327" s="1"/>
      <c r="F327" s="1" t="s">
        <v>1198</v>
      </c>
      <c r="G327" s="4" t="s">
        <v>1192</v>
      </c>
      <c r="H327" s="1"/>
    </row>
    <row r="328" spans="1:8" x14ac:dyDescent="0.2">
      <c r="A328" s="1" t="s">
        <v>197</v>
      </c>
      <c r="B328" s="1">
        <v>329</v>
      </c>
      <c r="C328" s="1" t="s">
        <v>1199</v>
      </c>
      <c r="D328" s="1" t="s">
        <v>1200</v>
      </c>
      <c r="E328" s="1"/>
      <c r="F328" s="1" t="s">
        <v>1201</v>
      </c>
      <c r="G328" s="4" t="s">
        <v>1192</v>
      </c>
      <c r="H328" s="1"/>
    </row>
    <row r="329" spans="1:8" x14ac:dyDescent="0.2">
      <c r="A329" s="1" t="s">
        <v>197</v>
      </c>
      <c r="B329" s="1">
        <v>330</v>
      </c>
      <c r="C329" s="1" t="s">
        <v>1202</v>
      </c>
      <c r="D329" s="1" t="s">
        <v>1203</v>
      </c>
      <c r="E329" s="1"/>
      <c r="F329" s="1" t="s">
        <v>1204</v>
      </c>
      <c r="G329" s="4" t="s">
        <v>1192</v>
      </c>
      <c r="H329" s="1"/>
    </row>
    <row r="330" spans="1:8" x14ac:dyDescent="0.2">
      <c r="A330" s="1" t="s">
        <v>197</v>
      </c>
      <c r="B330" s="1">
        <v>331</v>
      </c>
      <c r="C330" s="1" t="s">
        <v>1205</v>
      </c>
      <c r="D330" s="1" t="s">
        <v>1206</v>
      </c>
      <c r="E330" s="1"/>
      <c r="F330" s="1" t="s">
        <v>1207</v>
      </c>
      <c r="G330" s="4" t="s">
        <v>1192</v>
      </c>
      <c r="H330" s="1"/>
    </row>
    <row r="331" spans="1:8" x14ac:dyDescent="0.2">
      <c r="A331" s="1" t="s">
        <v>197</v>
      </c>
      <c r="B331" s="1">
        <v>332</v>
      </c>
      <c r="C331" s="1" t="s">
        <v>1208</v>
      </c>
      <c r="D331" s="1" t="s">
        <v>1209</v>
      </c>
      <c r="E331" s="1"/>
      <c r="F331" s="1" t="s">
        <v>1210</v>
      </c>
      <c r="G331" s="4" t="s">
        <v>1192</v>
      </c>
      <c r="H331" s="1"/>
    </row>
    <row r="332" spans="1:8" x14ac:dyDescent="0.2">
      <c r="A332" s="1" t="s">
        <v>197</v>
      </c>
      <c r="B332" s="1">
        <v>333</v>
      </c>
      <c r="C332" s="1" t="s">
        <v>1211</v>
      </c>
      <c r="D332" s="1" t="s">
        <v>1212</v>
      </c>
      <c r="E332" s="1"/>
      <c r="F332" s="1" t="s">
        <v>1213</v>
      </c>
      <c r="G332" s="4" t="s">
        <v>1192</v>
      </c>
      <c r="H332" s="1"/>
    </row>
    <row r="333" spans="1:8" x14ac:dyDescent="0.2">
      <c r="A333" s="1" t="s">
        <v>197</v>
      </c>
      <c r="B333" s="1">
        <v>334</v>
      </c>
      <c r="C333" s="1" t="s">
        <v>1214</v>
      </c>
      <c r="D333" s="1" t="s">
        <v>1215</v>
      </c>
      <c r="E333" s="1"/>
      <c r="F333" s="1" t="s">
        <v>1216</v>
      </c>
      <c r="G333" s="4" t="s">
        <v>1192</v>
      </c>
      <c r="H333" s="1"/>
    </row>
    <row r="334" spans="1:8" x14ac:dyDescent="0.2">
      <c r="A334" s="1" t="s">
        <v>197</v>
      </c>
      <c r="B334" s="1">
        <v>335</v>
      </c>
      <c r="C334" s="1" t="s">
        <v>1217</v>
      </c>
      <c r="D334" s="1" t="s">
        <v>1218</v>
      </c>
      <c r="E334" s="1"/>
      <c r="F334" s="1" t="s">
        <v>1219</v>
      </c>
      <c r="G334" s="4" t="s">
        <v>1192</v>
      </c>
      <c r="H334" s="1"/>
    </row>
    <row r="335" spans="1:8" x14ac:dyDescent="0.2">
      <c r="A335" s="1" t="s">
        <v>197</v>
      </c>
      <c r="B335" s="1">
        <v>336</v>
      </c>
      <c r="C335" s="1" t="s">
        <v>1220</v>
      </c>
      <c r="D335" s="1" t="s">
        <v>1221</v>
      </c>
      <c r="E335" s="1"/>
      <c r="F335" s="1" t="s">
        <v>1222</v>
      </c>
      <c r="G335" s="4" t="s">
        <v>1192</v>
      </c>
      <c r="H335" s="1"/>
    </row>
    <row r="336" spans="1:8" x14ac:dyDescent="0.2">
      <c r="A336" s="1" t="s">
        <v>197</v>
      </c>
      <c r="B336" s="1">
        <v>337</v>
      </c>
      <c r="C336" s="1" t="s">
        <v>1223</v>
      </c>
      <c r="D336" s="1" t="s">
        <v>1224</v>
      </c>
      <c r="E336" s="1" t="s">
        <v>1225</v>
      </c>
      <c r="F336" s="1" t="s">
        <v>1226</v>
      </c>
      <c r="G336" s="1"/>
      <c r="H336" s="1"/>
    </row>
    <row r="337" spans="1:8" x14ac:dyDescent="0.2">
      <c r="A337" s="1" t="s">
        <v>197</v>
      </c>
      <c r="B337" s="1">
        <v>338</v>
      </c>
      <c r="C337" s="1" t="s">
        <v>1227</v>
      </c>
      <c r="D337" s="1" t="s">
        <v>1228</v>
      </c>
      <c r="E337" s="1" t="s">
        <v>1229</v>
      </c>
      <c r="F337" s="1" t="s">
        <v>1230</v>
      </c>
      <c r="G337" s="1"/>
      <c r="H337" s="1"/>
    </row>
    <row r="338" spans="1:8" x14ac:dyDescent="0.2">
      <c r="A338" s="1" t="s">
        <v>197</v>
      </c>
      <c r="B338" s="1">
        <v>339</v>
      </c>
      <c r="C338" s="1" t="s">
        <v>1231</v>
      </c>
      <c r="D338" s="1" t="s">
        <v>1232</v>
      </c>
      <c r="E338" s="1" t="s">
        <v>1233</v>
      </c>
      <c r="F338" s="1" t="s">
        <v>1234</v>
      </c>
      <c r="G338" s="1"/>
      <c r="H338" s="1"/>
    </row>
    <row r="339" spans="1:8" x14ac:dyDescent="0.2">
      <c r="A339" s="1" t="s">
        <v>197</v>
      </c>
      <c r="B339" s="1">
        <v>340</v>
      </c>
      <c r="C339" s="1" t="s">
        <v>1235</v>
      </c>
      <c r="D339" s="1" t="s">
        <v>1236</v>
      </c>
      <c r="E339" s="1" t="s">
        <v>1237</v>
      </c>
      <c r="F339" s="1" t="s">
        <v>1238</v>
      </c>
      <c r="G339" s="1"/>
      <c r="H339" s="1"/>
    </row>
    <row r="340" spans="1:8" x14ac:dyDescent="0.2">
      <c r="A340" s="1" t="s">
        <v>197</v>
      </c>
      <c r="B340" s="1">
        <v>341</v>
      </c>
      <c r="C340" s="1" t="s">
        <v>1239</v>
      </c>
      <c r="D340" s="1" t="s">
        <v>1240</v>
      </c>
      <c r="E340" s="1" t="s">
        <v>1241</v>
      </c>
      <c r="F340" s="1" t="s">
        <v>1242</v>
      </c>
      <c r="G340" s="1"/>
      <c r="H340" s="1"/>
    </row>
    <row r="341" spans="1:8" x14ac:dyDescent="0.2">
      <c r="A341" s="1" t="s">
        <v>197</v>
      </c>
      <c r="B341" s="1">
        <v>342</v>
      </c>
      <c r="C341" s="1" t="s">
        <v>1243</v>
      </c>
      <c r="D341" s="1" t="s">
        <v>1244</v>
      </c>
      <c r="E341" s="1" t="s">
        <v>1241</v>
      </c>
      <c r="F341" s="1" t="s">
        <v>1242</v>
      </c>
      <c r="G341" s="1"/>
      <c r="H341" s="1"/>
    </row>
    <row r="342" spans="1:8" x14ac:dyDescent="0.2">
      <c r="A342" s="1" t="s">
        <v>197</v>
      </c>
      <c r="B342" s="1">
        <v>343</v>
      </c>
      <c r="C342" s="1" t="s">
        <v>1245</v>
      </c>
      <c r="D342" s="1" t="s">
        <v>1246</v>
      </c>
      <c r="E342" s="1" t="s">
        <v>1241</v>
      </c>
      <c r="F342" s="1" t="s">
        <v>1242</v>
      </c>
      <c r="G342" s="1"/>
      <c r="H342" s="1"/>
    </row>
    <row r="343" spans="1:8" x14ac:dyDescent="0.2">
      <c r="A343" s="1" t="s">
        <v>197</v>
      </c>
      <c r="B343" s="1">
        <v>344</v>
      </c>
      <c r="C343" s="1" t="s">
        <v>1247</v>
      </c>
      <c r="D343" s="1" t="s">
        <v>1248</v>
      </c>
      <c r="E343" s="1" t="s">
        <v>87</v>
      </c>
      <c r="F343" s="1" t="s">
        <v>1249</v>
      </c>
      <c r="G343" s="1"/>
      <c r="H343" s="1"/>
    </row>
    <row r="344" spans="1:8" x14ac:dyDescent="0.2">
      <c r="A344" s="1" t="s">
        <v>197</v>
      </c>
      <c r="B344" s="1">
        <v>345</v>
      </c>
      <c r="C344" s="1" t="s">
        <v>1250</v>
      </c>
      <c r="D344" s="1" t="s">
        <v>1251</v>
      </c>
      <c r="E344" s="1" t="s">
        <v>1252</v>
      </c>
      <c r="F344" s="1" t="s">
        <v>1253</v>
      </c>
      <c r="G344" s="1"/>
      <c r="H344" s="1"/>
    </row>
    <row r="345" spans="1:8" x14ac:dyDescent="0.2">
      <c r="A345" s="1" t="s">
        <v>197</v>
      </c>
      <c r="B345" s="1">
        <v>346</v>
      </c>
      <c r="C345" s="1" t="s">
        <v>1254</v>
      </c>
      <c r="D345" s="1" t="s">
        <v>1255</v>
      </c>
      <c r="E345" s="1" t="s">
        <v>1252</v>
      </c>
      <c r="F345" s="1" t="s">
        <v>1253</v>
      </c>
      <c r="G345" s="1"/>
      <c r="H345" s="1"/>
    </row>
    <row r="346" spans="1:8" x14ac:dyDescent="0.2">
      <c r="A346" s="1" t="s">
        <v>197</v>
      </c>
      <c r="B346" s="1">
        <v>347</v>
      </c>
      <c r="C346" s="1" t="s">
        <v>1256</v>
      </c>
      <c r="D346" s="1" t="s">
        <v>1257</v>
      </c>
      <c r="E346" s="1" t="s">
        <v>1258</v>
      </c>
      <c r="F346" s="1" t="s">
        <v>1259</v>
      </c>
      <c r="G346" s="1"/>
      <c r="H346" s="1"/>
    </row>
    <row r="347" spans="1:8" x14ac:dyDescent="0.2">
      <c r="A347" s="1" t="s">
        <v>197</v>
      </c>
      <c r="B347" s="1">
        <v>348</v>
      </c>
      <c r="C347" s="1" t="s">
        <v>1260</v>
      </c>
      <c r="D347" s="1" t="s">
        <v>1261</v>
      </c>
      <c r="E347" s="1" t="s">
        <v>1262</v>
      </c>
      <c r="F347" s="1" t="s">
        <v>1263</v>
      </c>
      <c r="G347" s="1"/>
      <c r="H347" s="1"/>
    </row>
    <row r="348" spans="1:8" x14ac:dyDescent="0.2">
      <c r="A348" s="1" t="s">
        <v>197</v>
      </c>
      <c r="B348" s="1">
        <v>349</v>
      </c>
      <c r="C348" s="1" t="s">
        <v>1264</v>
      </c>
      <c r="D348" s="1" t="s">
        <v>1265</v>
      </c>
      <c r="E348" s="1" t="s">
        <v>1266</v>
      </c>
      <c r="F348" s="1" t="s">
        <v>1267</v>
      </c>
      <c r="G348" s="1"/>
      <c r="H348" s="1"/>
    </row>
    <row r="349" spans="1:8" x14ac:dyDescent="0.2">
      <c r="C349" s="1" t="s">
        <v>1270</v>
      </c>
      <c r="D349" s="1" t="s">
        <v>1270</v>
      </c>
      <c r="F349" s="1" t="s">
        <v>1270</v>
      </c>
    </row>
  </sheetData>
  <hyperlinks>
    <hyperlink ref="G255" r:id="rId1" xr:uid="{72896710-06D7-9C41-A889-C028A46A0693}"/>
    <hyperlink ref="G256" r:id="rId2" xr:uid="{D5EA2CD9-A3F5-164A-860C-3C4D26D67193}"/>
    <hyperlink ref="G257" r:id="rId3" xr:uid="{1D9808A6-989F-164E-BB8B-DE00BCAB3AEF}"/>
    <hyperlink ref="G258" r:id="rId4" xr:uid="{DB54B196-E603-CA42-B703-9B448B37EA16}"/>
    <hyperlink ref="G259" r:id="rId5" xr:uid="{57B1E5CB-4D15-8347-B235-CAD4E9EABCF7}"/>
    <hyperlink ref="G260" r:id="rId6" xr:uid="{76604485-108E-974F-A95F-22BD1A25F611}"/>
    <hyperlink ref="G261" r:id="rId7" xr:uid="{F8633A60-9A59-D946-929C-09473B8ECE0D}"/>
    <hyperlink ref="G262" r:id="rId8" xr:uid="{042AA1F1-58D8-D347-B41D-534A4F7A2829}"/>
    <hyperlink ref="G263" r:id="rId9" xr:uid="{13CC2706-9156-C748-90B9-1B3F53AC85BC}"/>
    <hyperlink ref="G264" r:id="rId10" xr:uid="{A0DEE7A2-C684-BF44-AEE3-1EB6C898F44C}"/>
    <hyperlink ref="G269" r:id="rId11" xr:uid="{3F491B7E-6265-5240-8773-AF391B55C4DD}"/>
    <hyperlink ref="G270" r:id="rId12" xr:uid="{025D827E-77B1-E947-A861-826CE9B68DB1}"/>
    <hyperlink ref="G271" r:id="rId13" xr:uid="{C1216E1C-9430-DB48-AB7C-104DE2FE52D0}"/>
    <hyperlink ref="G272" r:id="rId14" xr:uid="{D464A2CC-6948-DD43-AE6B-4CAB57DDB2B7}"/>
    <hyperlink ref="G273" r:id="rId15" xr:uid="{AA4F3EF3-4952-B642-A9C3-F64D5A0CA55F}"/>
    <hyperlink ref="G274" r:id="rId16" xr:uid="{A0C508A3-5073-9D42-8A94-8A7D4B391AF9}"/>
    <hyperlink ref="G275" r:id="rId17" xr:uid="{5B3EE4CD-92B3-D246-A5B1-BEAF76E99290}"/>
    <hyperlink ref="G276" r:id="rId18" xr:uid="{51DE9B46-96A0-7348-96DE-42AB3C0BC4FB}"/>
    <hyperlink ref="G277" r:id="rId19" xr:uid="{8EDB49C7-959B-A743-85AB-F24E87E0630B}"/>
    <hyperlink ref="G278" r:id="rId20" xr:uid="{3C134168-85BF-164B-85EC-E3B8C8613CF8}"/>
    <hyperlink ref="G265" r:id="rId21" xr:uid="{9DC72D3D-69C3-C34E-9665-73A083741C3A}"/>
    <hyperlink ref="G267" r:id="rId22" xr:uid="{3314F9C3-92C9-BD4C-AC78-1E31EE08DCE1}"/>
    <hyperlink ref="G268" r:id="rId23" xr:uid="{8EEC1CD3-6226-B04F-B9C3-62C8A0B6A6A6}"/>
    <hyperlink ref="G266" r:id="rId24" xr:uid="{A5BC52B0-D845-3A44-A80B-F1FD047944B6}"/>
    <hyperlink ref="G279" r:id="rId25" xr:uid="{858FB1B7-8857-F04F-8592-782F91FC45BF}"/>
    <hyperlink ref="G281" r:id="rId26" xr:uid="{88C4CB12-19E2-284D-8B72-1A60838BA2FE}"/>
    <hyperlink ref="G280" r:id="rId27" xr:uid="{E7F42431-BD49-B04C-8A8E-ED41C6E26781}"/>
    <hyperlink ref="G282" r:id="rId28" xr:uid="{A6868DFF-FE91-0043-BB5B-24D7180E949F}"/>
    <hyperlink ref="G284" r:id="rId29" xr:uid="{148461D1-9825-7943-B2FB-6E17265CDD86}"/>
    <hyperlink ref="G285" r:id="rId30" xr:uid="{F58A913D-DD5F-7341-A334-8F6997B79ADB}"/>
    <hyperlink ref="G286" r:id="rId31" xr:uid="{D22471E6-65E5-5140-9201-65AB2F5932FF}"/>
    <hyperlink ref="G287" r:id="rId32" xr:uid="{B5B6439E-4CA2-2040-85A6-6A3F3E3AE5A5}"/>
    <hyperlink ref="G288" r:id="rId33" xr:uid="{27763FAC-63B9-CF4E-90B9-6232C55D1028}"/>
    <hyperlink ref="G289" r:id="rId34" xr:uid="{D3D466C3-2A57-C84F-9D79-1FAB60CFC84B}"/>
    <hyperlink ref="G290" r:id="rId35" xr:uid="{EC616A5E-EE5B-454E-A229-006A82A7DDA0}"/>
    <hyperlink ref="G291" r:id="rId36" xr:uid="{8436C2F3-3FFA-C446-96B2-2555EDB8722B}"/>
    <hyperlink ref="G292" r:id="rId37" xr:uid="{429FA517-9FAE-0F4A-BC65-94314BD65C22}"/>
    <hyperlink ref="G293:G314" r:id="rId38" display="https://www.ncbi.nlm.nih.gov/pubmed/30013045" xr:uid="{6FA2A1AC-2F22-2D46-A7F5-F151E97221EA}"/>
    <hyperlink ref="G315" r:id="rId39" xr:uid="{5EDBA282-8BB9-3647-8417-25E7271CB313}"/>
    <hyperlink ref="G316" r:id="rId40" xr:uid="{B8213236-B10D-BC48-A281-A4AA7DE34F17}"/>
    <hyperlink ref="G317" r:id="rId41" xr:uid="{0A9F2B3D-7271-1B45-888F-B00AC078E7B4}"/>
    <hyperlink ref="G318" r:id="rId42" xr:uid="{3306E50C-7272-F440-AF78-610B6C7F6EA8}"/>
    <hyperlink ref="G319" r:id="rId43" xr:uid="{50AD8FA5-8A42-464A-A978-AEFF1B3E2F2E}"/>
    <hyperlink ref="G325" r:id="rId44" xr:uid="{D0CB3CA6-E7D8-C94D-B396-8149329821FF}"/>
    <hyperlink ref="G326" r:id="rId45" xr:uid="{D6775723-FB75-9F45-BD14-E5B0EC910143}"/>
    <hyperlink ref="G327" r:id="rId46" xr:uid="{947B91DB-CEB6-0F44-A0D5-B958E126AB12}"/>
    <hyperlink ref="G328" r:id="rId47" xr:uid="{537728FD-915B-4648-9EF6-9ED533598DD9}"/>
    <hyperlink ref="G329" r:id="rId48" xr:uid="{21B7EA40-8355-3C4F-B000-2B2FFD6DCE61}"/>
    <hyperlink ref="G330" r:id="rId49" xr:uid="{091E31DC-4671-C64F-836D-22E1F773A8F7}"/>
    <hyperlink ref="G331" r:id="rId50" xr:uid="{7B98AAD6-AE24-B24B-8192-FE66513B360B}"/>
    <hyperlink ref="G332" r:id="rId51" xr:uid="{9251D517-A679-5F48-98C4-BED3710EC531}"/>
    <hyperlink ref="G333" r:id="rId52" xr:uid="{C40E14EE-88DF-E847-9364-DB0DF5B50778}"/>
    <hyperlink ref="G334" r:id="rId53" xr:uid="{6559AAD0-A7D8-9141-8154-A91397D15E9C}"/>
    <hyperlink ref="G335" r:id="rId54" xr:uid="{B094AC54-65F3-3A40-AA70-B991311753BB}"/>
    <hyperlink ref="G283" r:id="rId55" xr:uid="{9E106A00-B388-454A-99A2-88863B6748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fd_domain_list</vt:lpstr>
      <vt:lpstr>domain_ref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Swinderman, Jason</dc:creator>
  <cp:lastModifiedBy>Swinderman, Jason</cp:lastModifiedBy>
  <dcterms:created xsi:type="dcterms:W3CDTF">2023-11-30T20:59:56Z</dcterms:created>
  <dcterms:modified xsi:type="dcterms:W3CDTF">2023-11-30T22:19:23Z</dcterms:modified>
</cp:coreProperties>
</file>